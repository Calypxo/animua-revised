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anne\Desktop\"/>
    </mc:Choice>
  </mc:AlternateContent>
  <xr:revisionPtr revIDLastSave="0" documentId="8_{FD336A37-FB4D-42E3-A552-E4511DDA093C}" xr6:coauthVersionLast="47" xr6:coauthVersionMax="47" xr10:uidLastSave="{00000000-0000-0000-0000-000000000000}"/>
  <bookViews>
    <workbookView xWindow="-98" yWindow="-98" windowWidth="21795" windowHeight="12975" xr2:uid="{C0D62570-1B94-4A00-9C5F-6965D96DDFB4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1" l="1"/>
  <c r="L82" i="1"/>
  <c r="N81" i="1"/>
  <c r="L81" i="1"/>
  <c r="N80" i="1"/>
  <c r="L80" i="1"/>
  <c r="N79" i="1"/>
  <c r="L79" i="1"/>
  <c r="N78" i="1"/>
  <c r="L78" i="1"/>
  <c r="N77" i="1"/>
  <c r="L77" i="1"/>
  <c r="N76" i="1"/>
  <c r="L76" i="1"/>
  <c r="N75" i="1"/>
  <c r="L75" i="1"/>
  <c r="N74" i="1"/>
  <c r="L74" i="1"/>
  <c r="N73" i="1"/>
  <c r="L73" i="1"/>
  <c r="N72" i="1"/>
  <c r="L72" i="1"/>
  <c r="N71" i="1"/>
  <c r="L71" i="1"/>
  <c r="N70" i="1"/>
  <c r="L70" i="1"/>
  <c r="N69" i="1"/>
  <c r="L69" i="1"/>
  <c r="N68" i="1"/>
  <c r="L68" i="1"/>
  <c r="N67" i="1"/>
  <c r="L67" i="1"/>
  <c r="N66" i="1"/>
  <c r="L66" i="1"/>
  <c r="N65" i="1"/>
  <c r="L65" i="1"/>
  <c r="N64" i="1"/>
  <c r="L64" i="1"/>
  <c r="N63" i="1"/>
  <c r="L63" i="1"/>
  <c r="N62" i="1"/>
  <c r="L62" i="1"/>
  <c r="N61" i="1"/>
  <c r="L61" i="1"/>
  <c r="N60" i="1"/>
  <c r="L60" i="1"/>
  <c r="N59" i="1"/>
  <c r="L59" i="1"/>
  <c r="N58" i="1"/>
  <c r="L58" i="1"/>
  <c r="N57" i="1"/>
  <c r="L57" i="1"/>
  <c r="N56" i="1"/>
  <c r="L56" i="1"/>
  <c r="N55" i="1"/>
  <c r="L55" i="1"/>
  <c r="N54" i="1"/>
  <c r="L54" i="1"/>
  <c r="N53" i="1"/>
  <c r="L53" i="1"/>
  <c r="N52" i="1"/>
  <c r="L52" i="1"/>
  <c r="N51" i="1"/>
  <c r="L51" i="1"/>
  <c r="N50" i="1"/>
  <c r="L50" i="1"/>
  <c r="N49" i="1"/>
  <c r="L49" i="1"/>
  <c r="N48" i="1"/>
  <c r="L48" i="1"/>
  <c r="N47" i="1"/>
  <c r="L47" i="1"/>
  <c r="N46" i="1"/>
  <c r="L46" i="1"/>
  <c r="N45" i="1"/>
  <c r="L45" i="1"/>
  <c r="N44" i="1"/>
  <c r="L44" i="1"/>
  <c r="N43" i="1"/>
  <c r="L43" i="1"/>
  <c r="N42" i="1"/>
  <c r="L42" i="1"/>
  <c r="N41" i="1"/>
  <c r="L41" i="1"/>
  <c r="N40" i="1"/>
  <c r="L40" i="1"/>
  <c r="N39" i="1"/>
  <c r="L39" i="1"/>
  <c r="N38" i="1"/>
  <c r="L38" i="1"/>
  <c r="N37" i="1"/>
  <c r="L37" i="1"/>
  <c r="N36" i="1"/>
  <c r="L36" i="1"/>
  <c r="N35" i="1"/>
  <c r="L35" i="1"/>
  <c r="N34" i="1"/>
  <c r="L34" i="1"/>
  <c r="N33" i="1"/>
  <c r="L33" i="1"/>
  <c r="N32" i="1"/>
  <c r="L32" i="1"/>
  <c r="N31" i="1"/>
  <c r="L31" i="1"/>
  <c r="N30" i="1"/>
  <c r="L30" i="1"/>
  <c r="N29" i="1"/>
  <c r="L29" i="1"/>
  <c r="N28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9" i="1"/>
  <c r="L9" i="1"/>
  <c r="N8" i="1"/>
  <c r="L8" i="1"/>
  <c r="N7" i="1"/>
  <c r="L7" i="1"/>
  <c r="N6" i="1"/>
  <c r="L6" i="1"/>
  <c r="N5" i="1"/>
  <c r="L5" i="1"/>
  <c r="N4" i="1"/>
  <c r="L4" i="1"/>
  <c r="N3" i="1"/>
  <c r="L3" i="1"/>
  <c r="N2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FE203D39-2205-4612-98DD-90D75E1BC621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F1" authorId="0" shapeId="0" xr:uid="{93049FC9-9D13-4BDD-BD56-7F189EA1EA00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G1" authorId="0" shapeId="0" xr:uid="{9C0BC034-0344-4032-A016-B693CA78B7A4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H1" authorId="0" shapeId="0" xr:uid="{8BB68BF8-CAB0-4B9D-BB70-95FBD53EE207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I1" authorId="0" shapeId="0" xr:uid="{80688158-EA9E-4773-A1A0-2E7E92107D72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J1" authorId="0" shapeId="0" xr:uid="{58D0C906-1CC7-40A0-B497-6D31FDED4BC5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K1" authorId="0" shapeId="0" xr:uid="{5EDAE0BE-BB30-45BA-889E-1D175F855374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L1" authorId="0" shapeId="0" xr:uid="{E7A2B733-0BA2-4B79-8C59-F496D490C5D3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M1" authorId="0" shapeId="0" xr:uid="{2A147CF1-DF3D-495F-AFCC-6DB7A85F6076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  <comment ref="N1" authorId="0" shapeId="0" xr:uid="{9F8537A5-4BE6-4E96-88E9-2E55AA4730DE}">
      <text>
        <r>
          <rPr>
            <sz val="11"/>
            <color theme="1"/>
            <rFont val="Calibri"/>
            <family val="2"/>
            <scheme val="minor"/>
          </rPr>
          <t>Sample/fake values added for demo/testing purposes.</t>
        </r>
      </text>
    </comment>
  </commentList>
</comments>
</file>

<file path=xl/sharedStrings.xml><?xml version="1.0" encoding="utf-8"?>
<sst xmlns="http://schemas.openxmlformats.org/spreadsheetml/2006/main" count="419" uniqueCount="205">
  <si>
    <t>Item ID</t>
  </si>
  <si>
    <t>Item Name</t>
  </si>
  <si>
    <t>Quantity</t>
  </si>
  <si>
    <t>Unit</t>
  </si>
  <si>
    <t>Category</t>
  </si>
  <si>
    <t>Current Stock</t>
  </si>
  <si>
    <t>Average Inventory</t>
  </si>
  <si>
    <t>Avg Monthly Usage</t>
  </si>
  <si>
    <t>Recency (Days)</t>
  </si>
  <si>
    <t>Lead Time (Days)</t>
  </si>
  <si>
    <t>Stockout Frequency</t>
  </si>
  <si>
    <t>Monthly Turnover Ratio</t>
  </si>
  <si>
    <t>Movement Label</t>
  </si>
  <si>
    <t>Reorder Risk</t>
  </si>
  <si>
    <t>ITM001</t>
  </si>
  <si>
    <t>Absorbent pads</t>
  </si>
  <si>
    <t>pack</t>
  </si>
  <si>
    <t>Consumable</t>
  </si>
  <si>
    <t>Slow</t>
  </si>
  <si>
    <t>ITM002</t>
  </si>
  <si>
    <t xml:space="preserve">Alcohol </t>
  </si>
  <si>
    <t>gal</t>
  </si>
  <si>
    <t>Disinfectant</t>
  </si>
  <si>
    <t>Fast</t>
  </si>
  <si>
    <t>ITM003</t>
  </si>
  <si>
    <t>Amoxicilin sc route-DYFAMOX LA</t>
  </si>
  <si>
    <t>btls</t>
  </si>
  <si>
    <t>Antibiotic</t>
  </si>
  <si>
    <t>ITM004</t>
  </si>
  <si>
    <t>Anti-Rabies vaccine (Rabisin)</t>
  </si>
  <si>
    <t>Vaccine</t>
  </si>
  <si>
    <t>ITM005</t>
  </si>
  <si>
    <t xml:space="preserve">Anti Tetanus </t>
  </si>
  <si>
    <t>boxes</t>
  </si>
  <si>
    <t>ITM006</t>
  </si>
  <si>
    <t>Artificial Insemination Gun (Butterfly)</t>
  </si>
  <si>
    <t>pc</t>
  </si>
  <si>
    <t>Equipment</t>
  </si>
  <si>
    <t>ITM007</t>
  </si>
  <si>
    <t xml:space="preserve">Baytril 5% </t>
  </si>
  <si>
    <t>ITM008</t>
  </si>
  <si>
    <t>B-Complex (Hepavita)</t>
  </si>
  <si>
    <t>Supplement</t>
  </si>
  <si>
    <t>ITM009</t>
  </si>
  <si>
    <t>Blade size #10</t>
  </si>
  <si>
    <t>Surgical Supply</t>
  </si>
  <si>
    <t>ITM010</t>
  </si>
  <si>
    <t>Blade size #22</t>
  </si>
  <si>
    <t>ITM011</t>
  </si>
  <si>
    <t>Bromhexine Suspension</t>
  </si>
  <si>
    <t>Respiratory Medicine</t>
  </si>
  <si>
    <t>ITM012</t>
  </si>
  <si>
    <t>Calmivet</t>
  </si>
  <si>
    <t>Sedative</t>
  </si>
  <si>
    <t>ITM013</t>
  </si>
  <si>
    <t>Canine Distemper test kit</t>
  </si>
  <si>
    <t>Diagnostic</t>
  </si>
  <si>
    <t>ITM014</t>
  </si>
  <si>
    <t>Canizep ointment</t>
  </si>
  <si>
    <t>Topical Medicine</t>
  </si>
  <si>
    <t>ITM015</t>
  </si>
  <si>
    <t>Cautery</t>
  </si>
  <si>
    <t>pcs</t>
  </si>
  <si>
    <t>ITM016</t>
  </si>
  <si>
    <t>CBG Calcionate</t>
  </si>
  <si>
    <t>ITM017</t>
  </si>
  <si>
    <t>Co-Amoxiclav Suspension</t>
  </si>
  <si>
    <t>ITM018</t>
  </si>
  <si>
    <t xml:space="preserve">Co-Amoxiclav </t>
  </si>
  <si>
    <t>ITM019</t>
  </si>
  <si>
    <t xml:space="preserve">Coforta </t>
  </si>
  <si>
    <t>ITM020</t>
  </si>
  <si>
    <t>Cotton rolls</t>
  </si>
  <si>
    <t>rolls</t>
  </si>
  <si>
    <t>ITM021</t>
  </si>
  <si>
    <t>Disposable Gloves (Large)</t>
  </si>
  <si>
    <t>ITM022</t>
  </si>
  <si>
    <t>Disposable Gloves (Medium)</t>
  </si>
  <si>
    <t>ITM023</t>
  </si>
  <si>
    <t>Disposable Needle G21</t>
  </si>
  <si>
    <t>ITM024</t>
  </si>
  <si>
    <t>Disposable Needle G23</t>
  </si>
  <si>
    <t>ITM025</t>
  </si>
  <si>
    <t>Disposable Syringe 1cc</t>
  </si>
  <si>
    <t>ITM026</t>
  </si>
  <si>
    <t>Disposable Syringe 3cc</t>
  </si>
  <si>
    <t>ITM027</t>
  </si>
  <si>
    <t>Doxycycline 5%+Colistin1,000,000 IU+Bromhexine Hcl 1,000,010</t>
  </si>
  <si>
    <t>ITM028</t>
  </si>
  <si>
    <t>Doxycycline tablet</t>
  </si>
  <si>
    <t>ITM029</t>
  </si>
  <si>
    <t xml:space="preserve">Doxycycline Suspension </t>
  </si>
  <si>
    <t>ITM030</t>
  </si>
  <si>
    <t>Electrolytes+Multivitamins+Bcomplex (48x6g)</t>
  </si>
  <si>
    <t>ITM031</t>
  </si>
  <si>
    <t>Electrolytes with Vitamin C</t>
  </si>
  <si>
    <t>ITM032</t>
  </si>
  <si>
    <t>Ener G Probiotic Powder box (5g x14)</t>
  </si>
  <si>
    <t>ITM033</t>
  </si>
  <si>
    <t xml:space="preserve">Enrocep tablet 100mg/50mg </t>
  </si>
  <si>
    <t>ITM034</t>
  </si>
  <si>
    <t>Gentin</t>
  </si>
  <si>
    <t>ITM035</t>
  </si>
  <si>
    <t>Itraconazole tablet 10x10 box</t>
  </si>
  <si>
    <t>Antifungal</t>
  </si>
  <si>
    <t>ITM036</t>
  </si>
  <si>
    <t xml:space="preserve">Iron </t>
  </si>
  <si>
    <t>ITM037</t>
  </si>
  <si>
    <t>IV Line</t>
  </si>
  <si>
    <t>ITM038</t>
  </si>
  <si>
    <t xml:space="preserve">Ivomec </t>
  </si>
  <si>
    <t>Antiparasitic</t>
  </si>
  <si>
    <t>ITM039</t>
  </si>
  <si>
    <t>Kennel Cough (Vial)</t>
  </si>
  <si>
    <t>ITM040</t>
  </si>
  <si>
    <t>Levamisole</t>
  </si>
  <si>
    <t>ITM041</t>
  </si>
  <si>
    <t>Leukoplast 4 inches</t>
  </si>
  <si>
    <t>ITM042</t>
  </si>
  <si>
    <t>Lidocaine 2%</t>
  </si>
  <si>
    <t>Anesthetic</t>
  </si>
  <si>
    <t>ITM043</t>
  </si>
  <si>
    <t xml:space="preserve">Liquid Nitrogen Tank (Field tank) </t>
  </si>
  <si>
    <t>ITM044</t>
  </si>
  <si>
    <t>Lutalyse</t>
  </si>
  <si>
    <t>Hormonal Medicine</t>
  </si>
  <si>
    <t>ITM045</t>
  </si>
  <si>
    <t>Marbocyl 2%</t>
  </si>
  <si>
    <t>ITM046</t>
  </si>
  <si>
    <t xml:space="preserve">Metronidazole 50mg </t>
  </si>
  <si>
    <t>ITM047</t>
  </si>
  <si>
    <t>Micropore 1 inch</t>
  </si>
  <si>
    <t>ITM048</t>
  </si>
  <si>
    <t>Microzole (Albendazole)</t>
  </si>
  <si>
    <t>ITM049</t>
  </si>
  <si>
    <t>Multivets oral liquid paste 200g tube</t>
  </si>
  <si>
    <t>ITM050</t>
  </si>
  <si>
    <t>Needle Holder with scissors</t>
  </si>
  <si>
    <t>ITM051</t>
  </si>
  <si>
    <t>Otiderm</t>
  </si>
  <si>
    <t>ITM052</t>
  </si>
  <si>
    <t xml:space="preserve">Oxytetracycline 20% OXYVET </t>
  </si>
  <si>
    <t>ITM053</t>
  </si>
  <si>
    <t>Oxytocin 50ml</t>
  </si>
  <si>
    <t>ITM054</t>
  </si>
  <si>
    <t>Papi Bion Plus (Bcomplex with Iron)</t>
  </si>
  <si>
    <t>ITM055</t>
  </si>
  <si>
    <t>Papi Livwell</t>
  </si>
  <si>
    <t>ITM056</t>
  </si>
  <si>
    <t>Papi MVP (Multivitamins)</t>
  </si>
  <si>
    <t>ITM057</t>
  </si>
  <si>
    <t>Polyglactin 2</t>
  </si>
  <si>
    <t>ITM058</t>
  </si>
  <si>
    <t>Polyglactin 3</t>
  </si>
  <si>
    <t>ITM059</t>
  </si>
  <si>
    <t>Papi scour (Co-Trimoxazole)</t>
  </si>
  <si>
    <t>ITM060</t>
  </si>
  <si>
    <t>Purified Vero Cell Rabies Vaccine 2.5 IU/0.5ml Ampu</t>
  </si>
  <si>
    <t>ITM061</t>
  </si>
  <si>
    <t>Renacure</t>
  </si>
  <si>
    <t>ITM062</t>
  </si>
  <si>
    <t>Scissors (Blunt-Blunt)</t>
  </si>
  <si>
    <t>ITM063</t>
  </si>
  <si>
    <t xml:space="preserve">Scourbust </t>
  </si>
  <si>
    <t>ITM064</t>
  </si>
  <si>
    <t>Septotryl</t>
  </si>
  <si>
    <t>ITM065</t>
  </si>
  <si>
    <t>Shaver</t>
  </si>
  <si>
    <t>ITM066</t>
  </si>
  <si>
    <t>Simparica trio (10-20kg) (pyrantel+Sarolaner+M)</t>
  </si>
  <si>
    <t>ITM067</t>
  </si>
  <si>
    <t>Simparica trio (20-40kg) (pyrantel+Sarolaner+M)</t>
  </si>
  <si>
    <t>ITM068</t>
  </si>
  <si>
    <t>Spasmovet (Dipyrone+Hyocine+Butyl brom</t>
  </si>
  <si>
    <t>Pain Relief</t>
  </si>
  <si>
    <t>ITM069</t>
  </si>
  <si>
    <t xml:space="preserve">Sterile Gauze </t>
  </si>
  <si>
    <t>ITM070</t>
  </si>
  <si>
    <t>Tolfenamic</t>
  </si>
  <si>
    <t>ITM071</t>
  </si>
  <si>
    <t>Vanguard 5CVL (Vial)</t>
  </si>
  <si>
    <t>ITM072</t>
  </si>
  <si>
    <t>Vitamin ADE injectable</t>
  </si>
  <si>
    <t>ITM073</t>
  </si>
  <si>
    <t>Vermifuge Oral Suspension (Pyrantel pamoat</t>
  </si>
  <si>
    <t>ITM074</t>
  </si>
  <si>
    <t>Vermifuge Tablets (Pyrantel pamoate+Praziquan</t>
  </si>
  <si>
    <t>ITM075</t>
  </si>
  <si>
    <t xml:space="preserve">Water Soluble Vitamin A, D3,E </t>
  </si>
  <si>
    <t>ITM076</t>
  </si>
  <si>
    <t>Weighing Scale</t>
  </si>
  <si>
    <t>ITM077</t>
  </si>
  <si>
    <t>Zoletil</t>
  </si>
  <si>
    <t>ITM078</t>
  </si>
  <si>
    <t xml:space="preserve">Cat Food </t>
  </si>
  <si>
    <t>bag</t>
  </si>
  <si>
    <t>Feed</t>
  </si>
  <si>
    <t>ITM079</t>
  </si>
  <si>
    <t xml:space="preserve">Dog Food 20 kgs. </t>
  </si>
  <si>
    <t>ITM080</t>
  </si>
  <si>
    <t>Plastic Matting for dogs 1x3 ft (white)</t>
  </si>
  <si>
    <t>Shelter Supply</t>
  </si>
  <si>
    <t>ITM081</t>
  </si>
  <si>
    <t>Rice</t>
  </si>
  <si>
    <t>sack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</si>
</sst>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1A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E2ED"/>
        <bgColor theme="4" tint="0.79998168889431442"/>
      </patternFill>
    </fill>
    <fill>
      <patternFill patternType="solid">
        <fgColor rgb="FFFAE2ED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801A4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70014-7773-439F-B005-22774F052860}" name="Table1" displayName="Table1" ref="A1:N82" totalsRowShown="0" headerRowDxfId="18" dataDxfId="16" headerRowBorderDxfId="17" tableBorderDxfId="15" totalsRowBorderDxfId="14">
  <autoFilter ref="A1:N82" xr:uid="{5160C268-44BB-4B6B-BEE6-B191BA8B5A44}"/>
  <tableColumns count="14">
    <tableColumn id="1" xr3:uid="{AA1D1A78-F8FC-43A7-8495-D621E430E5F0}" name="Item ID" dataDxfId="13"/>
    <tableColumn id="2" xr3:uid="{32BD9F29-ED12-4669-B28D-030BF4A381FC}" name="Item Name" dataDxfId="12"/>
    <tableColumn id="3" xr3:uid="{E3D614F6-A9FF-407B-92CC-37C450BB9B4D}" name="Quantity" dataDxfId="11"/>
    <tableColumn id="4" xr3:uid="{0998577F-E175-470D-88D8-3691D7E2AFF6}" name="Unit" dataDxfId="10"/>
    <tableColumn id="5" xr3:uid="{CBBD2D52-E3F9-42E9-9807-A779739469B3}" name="Category" dataDxfId="9"/>
    <tableColumn id="6" xr3:uid="{E3B4A9FC-2691-4CD8-9F4C-54D4D4116003}" name="Current Stock" dataDxfId="8"/>
    <tableColumn id="7" xr3:uid="{FC1849D8-864E-467E-BACD-72C1B0FD35E6}" name="Average Inventory" dataDxfId="7"/>
    <tableColumn id="8" xr3:uid="{26AD3649-601C-404D-B85A-AFDADE8E3145}" name="Avg Monthly Usage" dataDxfId="6"/>
    <tableColumn id="9" xr3:uid="{F54DEFE1-C4D8-4AAB-A2A9-64E420139067}" name="Recency (Days)" dataDxfId="5"/>
    <tableColumn id="10" xr3:uid="{5DCC286A-2E8E-4513-BE78-1AFB9F68FA95}" name="Lead Time (Days)" dataDxfId="4"/>
    <tableColumn id="11" xr3:uid="{256EDA2E-17F1-4983-9851-9645EE1D837B}" name="Stockout Frequency" dataDxfId="3"/>
    <tableColumn id="12" xr3:uid="{337651B7-D7FE-4AD9-9D10-311D0DA55E0C}" name="Monthly Turnover Ratio" dataDxfId="2">
      <calculatedColumnFormula>IFERROR(H2/G2,0)</calculatedColumnFormula>
    </tableColumn>
    <tableColumn id="13" xr3:uid="{CD1406E5-5EF8-45AE-BE91-4B055E1FE481}" name="Movement Label" dataDxfId="1"/>
    <tableColumn id="14" xr3:uid="{61117D5E-7DEB-4935-A9A5-E6F5903781CE}" name="Reorder Risk" dataDxfId="0">
      <calculatedColumnFormula>IF(OR(F2&lt;H2,K2&gt;0),"Review","OK")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C395-661B-4A6E-B432-B4AFCB58E7AA}">
  <sheetPr>
    <tabColor rgb="FFFCA4D6"/>
  </sheetPr>
  <dimension ref="A1:LF116"/>
  <sheetViews>
    <sheetView tabSelected="1" zoomScale="89" zoomScaleNormal="40" workbookViewId="0">
      <selection activeCell="F27" sqref="F27"/>
    </sheetView>
  </sheetViews>
  <sheetFormatPr defaultRowHeight="14.25" x14ac:dyDescent="0.45"/>
  <cols>
    <col min="1" max="1" width="17.796875" customWidth="1"/>
    <col min="2" max="2" width="55.3984375" customWidth="1"/>
    <col min="3" max="3" width="18.19921875" customWidth="1"/>
    <col min="4" max="4" width="12.265625" customWidth="1"/>
    <col min="5" max="5" width="25.33203125" customWidth="1"/>
    <col min="6" max="6" width="15.9296875" customWidth="1"/>
    <col min="7" max="7" width="19.6640625" customWidth="1"/>
    <col min="8" max="8" width="20.59765625" customWidth="1"/>
    <col min="9" max="9" width="16.59765625" customWidth="1"/>
    <col min="10" max="10" width="18.33203125" customWidth="1"/>
    <col min="11" max="11" width="21" customWidth="1"/>
    <col min="12" max="12" width="24.59765625" customWidth="1"/>
    <col min="13" max="13" width="18.19921875" customWidth="1"/>
    <col min="14" max="14" width="14.06640625" hidden="1" customWidth="1"/>
    <col min="16" max="17" width="9.06640625" customWidth="1"/>
  </cols>
  <sheetData>
    <row r="1" spans="1:318" ht="31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</row>
    <row r="2" spans="1:318" s="6" customFormat="1" x14ac:dyDescent="0.45">
      <c r="A2" s="3" t="s">
        <v>14</v>
      </c>
      <c r="B2" s="3" t="s">
        <v>15</v>
      </c>
      <c r="C2" s="3">
        <v>5</v>
      </c>
      <c r="D2" s="3" t="s">
        <v>16</v>
      </c>
      <c r="E2" s="4" t="s">
        <v>17</v>
      </c>
      <c r="F2" s="4">
        <v>42</v>
      </c>
      <c r="G2" s="4">
        <v>48</v>
      </c>
      <c r="H2" s="4">
        <v>18</v>
      </c>
      <c r="I2" s="4">
        <v>6</v>
      </c>
      <c r="J2" s="4">
        <v>5</v>
      </c>
      <c r="K2" s="4">
        <v>1</v>
      </c>
      <c r="L2" s="5">
        <f t="shared" ref="L2:L65" si="0">IFERROR(H2/G2,0)</f>
        <v>0.375</v>
      </c>
      <c r="M2" s="4" t="s">
        <v>18</v>
      </c>
      <c r="N2" s="4" t="str">
        <f t="shared" ref="N2:N65" si="1">IF(OR(F2&lt;H2,K2&gt;0),"Review","OK")</f>
        <v>Review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</row>
    <row r="3" spans="1:318" x14ac:dyDescent="0.45">
      <c r="A3" s="7" t="s">
        <v>19</v>
      </c>
      <c r="B3" s="7" t="s">
        <v>20</v>
      </c>
      <c r="C3" s="7">
        <v>3</v>
      </c>
      <c r="D3" s="7" t="s">
        <v>21</v>
      </c>
      <c r="E3" s="7" t="s">
        <v>22</v>
      </c>
      <c r="F3" s="7">
        <v>4</v>
      </c>
      <c r="G3" s="7">
        <v>30</v>
      </c>
      <c r="H3" s="7">
        <v>20</v>
      </c>
      <c r="I3" s="7">
        <v>4</v>
      </c>
      <c r="J3" s="7">
        <v>4</v>
      </c>
      <c r="K3" s="7">
        <v>1</v>
      </c>
      <c r="L3" s="8">
        <f t="shared" si="0"/>
        <v>0.66666666666666663</v>
      </c>
      <c r="M3" s="7" t="s">
        <v>23</v>
      </c>
      <c r="N3" s="7" t="str">
        <f t="shared" si="1"/>
        <v>Review</v>
      </c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</row>
    <row r="4" spans="1:318" s="6" customFormat="1" x14ac:dyDescent="0.45">
      <c r="A4" s="9" t="s">
        <v>24</v>
      </c>
      <c r="B4" s="9" t="s">
        <v>25</v>
      </c>
      <c r="C4" s="9">
        <v>27</v>
      </c>
      <c r="D4" s="9" t="s">
        <v>26</v>
      </c>
      <c r="E4" s="4" t="s">
        <v>27</v>
      </c>
      <c r="F4" s="4">
        <v>6</v>
      </c>
      <c r="G4" s="4">
        <v>40</v>
      </c>
      <c r="H4" s="4">
        <v>25</v>
      </c>
      <c r="I4" s="4">
        <v>3</v>
      </c>
      <c r="J4" s="4">
        <v>7</v>
      </c>
      <c r="K4" s="4">
        <v>1</v>
      </c>
      <c r="L4" s="5">
        <f t="shared" si="0"/>
        <v>0.625</v>
      </c>
      <c r="M4" s="4" t="s">
        <v>23</v>
      </c>
      <c r="N4" s="4" t="str">
        <f t="shared" si="1"/>
        <v>Review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</row>
    <row r="5" spans="1:318" x14ac:dyDescent="0.45">
      <c r="A5" s="7" t="s">
        <v>28</v>
      </c>
      <c r="B5" s="7" t="s">
        <v>29</v>
      </c>
      <c r="C5" s="7">
        <v>1800</v>
      </c>
      <c r="D5" s="7" t="s">
        <v>26</v>
      </c>
      <c r="E5" s="7" t="s">
        <v>30</v>
      </c>
      <c r="F5" s="7">
        <v>520</v>
      </c>
      <c r="G5" s="7">
        <v>700</v>
      </c>
      <c r="H5" s="7">
        <v>180</v>
      </c>
      <c r="I5" s="7">
        <v>2</v>
      </c>
      <c r="J5" s="7">
        <v>14</v>
      </c>
      <c r="K5" s="7">
        <v>2</v>
      </c>
      <c r="L5" s="8">
        <f t="shared" si="0"/>
        <v>0.25714285714285712</v>
      </c>
      <c r="M5" s="7" t="s">
        <v>23</v>
      </c>
      <c r="N5" s="7" t="str">
        <f t="shared" si="1"/>
        <v>Review</v>
      </c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</row>
    <row r="6" spans="1:318" s="6" customFormat="1" x14ac:dyDescent="0.45">
      <c r="A6" s="4" t="s">
        <v>31</v>
      </c>
      <c r="B6" s="4" t="s">
        <v>32</v>
      </c>
      <c r="C6" s="4">
        <v>2</v>
      </c>
      <c r="D6" s="4" t="s">
        <v>33</v>
      </c>
      <c r="E6" s="4" t="s">
        <v>30</v>
      </c>
      <c r="F6" s="4">
        <v>12</v>
      </c>
      <c r="G6" s="4">
        <v>15</v>
      </c>
      <c r="H6" s="4">
        <v>5</v>
      </c>
      <c r="I6" s="4">
        <v>18</v>
      </c>
      <c r="J6" s="4">
        <v>12</v>
      </c>
      <c r="K6" s="4">
        <v>0</v>
      </c>
      <c r="L6" s="5">
        <f t="shared" si="0"/>
        <v>0.33333333333333331</v>
      </c>
      <c r="M6" s="4" t="s">
        <v>18</v>
      </c>
      <c r="N6" s="4" t="str">
        <f t="shared" si="1"/>
        <v>OK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</row>
    <row r="7" spans="1:318" x14ac:dyDescent="0.45">
      <c r="A7" s="7" t="s">
        <v>34</v>
      </c>
      <c r="B7" s="7" t="s">
        <v>35</v>
      </c>
      <c r="C7" s="7">
        <v>1</v>
      </c>
      <c r="D7" s="7" t="s">
        <v>36</v>
      </c>
      <c r="E7" s="7" t="s">
        <v>37</v>
      </c>
      <c r="F7" s="7">
        <v>3</v>
      </c>
      <c r="G7" s="7">
        <v>4</v>
      </c>
      <c r="H7" s="7">
        <v>1</v>
      </c>
      <c r="I7" s="7">
        <v>40</v>
      </c>
      <c r="J7" s="7">
        <v>20</v>
      </c>
      <c r="K7" s="7">
        <v>0</v>
      </c>
      <c r="L7" s="8">
        <f t="shared" si="0"/>
        <v>0.25</v>
      </c>
      <c r="M7" s="7" t="s">
        <v>18</v>
      </c>
      <c r="N7" s="7" t="str">
        <f t="shared" si="1"/>
        <v>OK</v>
      </c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</row>
    <row r="8" spans="1:318" s="6" customFormat="1" x14ac:dyDescent="0.45">
      <c r="A8" s="4" t="s">
        <v>38</v>
      </c>
      <c r="B8" s="4" t="s">
        <v>39</v>
      </c>
      <c r="C8" s="4">
        <v>47</v>
      </c>
      <c r="D8" s="4" t="s">
        <v>26</v>
      </c>
      <c r="E8" s="4" t="s">
        <v>27</v>
      </c>
      <c r="F8" s="4">
        <v>2</v>
      </c>
      <c r="G8" s="4">
        <v>42</v>
      </c>
      <c r="H8" s="4">
        <v>21</v>
      </c>
      <c r="I8" s="4">
        <v>5</v>
      </c>
      <c r="J8" s="4">
        <v>8</v>
      </c>
      <c r="K8" s="4">
        <v>1</v>
      </c>
      <c r="L8" s="5">
        <f t="shared" si="0"/>
        <v>0.5</v>
      </c>
      <c r="M8" s="4" t="s">
        <v>23</v>
      </c>
      <c r="N8" s="4" t="str">
        <f t="shared" si="1"/>
        <v>Review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</row>
    <row r="9" spans="1:318" x14ac:dyDescent="0.45">
      <c r="A9" s="7" t="s">
        <v>40</v>
      </c>
      <c r="B9" s="7" t="s">
        <v>41</v>
      </c>
      <c r="C9" s="7">
        <v>29</v>
      </c>
      <c r="D9" s="7" t="s">
        <v>26</v>
      </c>
      <c r="E9" s="7" t="s">
        <v>42</v>
      </c>
      <c r="F9" s="7">
        <v>31</v>
      </c>
      <c r="G9" s="7">
        <v>35</v>
      </c>
      <c r="H9" s="7">
        <v>17</v>
      </c>
      <c r="I9" s="7">
        <v>7</v>
      </c>
      <c r="J9" s="7">
        <v>6</v>
      </c>
      <c r="K9" s="7">
        <v>0</v>
      </c>
      <c r="L9" s="8">
        <f t="shared" si="0"/>
        <v>0.48571428571428571</v>
      </c>
      <c r="M9" s="7" t="s">
        <v>18</v>
      </c>
      <c r="N9" s="7" t="str">
        <f t="shared" si="1"/>
        <v>OK</v>
      </c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</row>
    <row r="10" spans="1:318" s="6" customFormat="1" x14ac:dyDescent="0.45">
      <c r="A10" s="4" t="s">
        <v>43</v>
      </c>
      <c r="B10" s="4" t="s">
        <v>44</v>
      </c>
      <c r="C10" s="4">
        <v>5</v>
      </c>
      <c r="D10" s="4" t="s">
        <v>33</v>
      </c>
      <c r="E10" s="4" t="s">
        <v>45</v>
      </c>
      <c r="F10" s="4">
        <v>18</v>
      </c>
      <c r="G10" s="4">
        <v>22</v>
      </c>
      <c r="H10" s="4">
        <v>8</v>
      </c>
      <c r="I10" s="4">
        <v>11</v>
      </c>
      <c r="J10" s="4">
        <v>6</v>
      </c>
      <c r="K10" s="4">
        <v>0</v>
      </c>
      <c r="L10" s="5">
        <f t="shared" si="0"/>
        <v>0.36363636363636365</v>
      </c>
      <c r="M10" s="4" t="s">
        <v>18</v>
      </c>
      <c r="N10" s="4" t="str">
        <f t="shared" si="1"/>
        <v>OK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</row>
    <row r="11" spans="1:318" x14ac:dyDescent="0.45">
      <c r="A11" s="10" t="s">
        <v>46</v>
      </c>
      <c r="B11" s="10" t="s">
        <v>47</v>
      </c>
      <c r="C11" s="10">
        <v>5</v>
      </c>
      <c r="D11" s="10" t="s">
        <v>33</v>
      </c>
      <c r="E11" s="7" t="s">
        <v>45</v>
      </c>
      <c r="F11" s="7">
        <v>16</v>
      </c>
      <c r="G11" s="7">
        <v>20</v>
      </c>
      <c r="H11" s="7">
        <v>7</v>
      </c>
      <c r="I11" s="7">
        <v>13</v>
      </c>
      <c r="J11" s="7">
        <v>6</v>
      </c>
      <c r="K11" s="7">
        <v>0</v>
      </c>
      <c r="L11" s="8">
        <f t="shared" si="0"/>
        <v>0.35</v>
      </c>
      <c r="M11" s="7" t="s">
        <v>18</v>
      </c>
      <c r="N11" s="7" t="str">
        <f t="shared" si="1"/>
        <v>OK</v>
      </c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</row>
    <row r="12" spans="1:318" s="6" customFormat="1" x14ac:dyDescent="0.45">
      <c r="A12" s="4" t="s">
        <v>48</v>
      </c>
      <c r="B12" s="4" t="s">
        <v>49</v>
      </c>
      <c r="C12" s="4">
        <v>32</v>
      </c>
      <c r="D12" s="4" t="s">
        <v>26</v>
      </c>
      <c r="E12" s="4" t="s">
        <v>50</v>
      </c>
      <c r="F12" s="4">
        <v>29</v>
      </c>
      <c r="G12" s="4">
        <v>34</v>
      </c>
      <c r="H12" s="4">
        <v>16</v>
      </c>
      <c r="I12" s="4">
        <v>8</v>
      </c>
      <c r="J12" s="4">
        <v>7</v>
      </c>
      <c r="K12" s="4">
        <v>0</v>
      </c>
      <c r="L12" s="5">
        <f t="shared" si="0"/>
        <v>0.47058823529411764</v>
      </c>
      <c r="M12" s="4" t="s">
        <v>18</v>
      </c>
      <c r="N12" s="4" t="str">
        <f t="shared" si="1"/>
        <v>OK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</row>
    <row r="13" spans="1:318" x14ac:dyDescent="0.45">
      <c r="A13" s="7" t="s">
        <v>51</v>
      </c>
      <c r="B13" s="7" t="s">
        <v>52</v>
      </c>
      <c r="C13" s="7">
        <v>10</v>
      </c>
      <c r="D13" s="7" t="s">
        <v>26</v>
      </c>
      <c r="E13" s="7" t="s">
        <v>53</v>
      </c>
      <c r="F13" s="7">
        <v>8</v>
      </c>
      <c r="G13" s="7">
        <v>12</v>
      </c>
      <c r="H13" s="7">
        <v>4</v>
      </c>
      <c r="I13" s="7">
        <v>15</v>
      </c>
      <c r="J13" s="7">
        <v>10</v>
      </c>
      <c r="K13" s="7">
        <v>0</v>
      </c>
      <c r="L13" s="8">
        <f t="shared" si="0"/>
        <v>0.33333333333333331</v>
      </c>
      <c r="M13" s="7" t="s">
        <v>18</v>
      </c>
      <c r="N13" s="7" t="str">
        <f t="shared" si="1"/>
        <v>OK</v>
      </c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</row>
    <row r="14" spans="1:318" s="6" customFormat="1" x14ac:dyDescent="0.45">
      <c r="A14" s="4" t="s">
        <v>54</v>
      </c>
      <c r="B14" s="4" t="s">
        <v>55</v>
      </c>
      <c r="C14" s="4">
        <v>2</v>
      </c>
      <c r="D14" s="4" t="s">
        <v>33</v>
      </c>
      <c r="E14" s="4" t="s">
        <v>56</v>
      </c>
      <c r="F14" s="4">
        <v>6</v>
      </c>
      <c r="G14" s="4">
        <v>8</v>
      </c>
      <c r="H14" s="4">
        <v>3</v>
      </c>
      <c r="I14" s="4">
        <v>20</v>
      </c>
      <c r="J14" s="4">
        <v>12</v>
      </c>
      <c r="K14" s="4">
        <v>0</v>
      </c>
      <c r="L14" s="5">
        <f t="shared" si="0"/>
        <v>0.375</v>
      </c>
      <c r="M14" s="4" t="s">
        <v>18</v>
      </c>
      <c r="N14" s="4" t="str">
        <f t="shared" si="1"/>
        <v>OK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</row>
    <row r="15" spans="1:318" x14ac:dyDescent="0.45">
      <c r="A15" s="7" t="s">
        <v>57</v>
      </c>
      <c r="B15" s="7" t="s">
        <v>58</v>
      </c>
      <c r="C15" s="7">
        <v>8</v>
      </c>
      <c r="D15" s="7" t="s">
        <v>26</v>
      </c>
      <c r="E15" s="7" t="s">
        <v>59</v>
      </c>
      <c r="F15" s="7">
        <v>14</v>
      </c>
      <c r="G15" s="7">
        <v>18</v>
      </c>
      <c r="H15" s="7">
        <v>6</v>
      </c>
      <c r="I15" s="7">
        <v>12</v>
      </c>
      <c r="J15" s="7">
        <v>8</v>
      </c>
      <c r="K15" s="7">
        <v>0</v>
      </c>
      <c r="L15" s="8">
        <f t="shared" si="0"/>
        <v>0.33333333333333331</v>
      </c>
      <c r="M15" s="7" t="s">
        <v>18</v>
      </c>
      <c r="N15" s="7" t="str">
        <f t="shared" si="1"/>
        <v>OK</v>
      </c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</row>
    <row r="16" spans="1:318" s="6" customFormat="1" x14ac:dyDescent="0.45">
      <c r="A16" s="4" t="s">
        <v>60</v>
      </c>
      <c r="B16" s="4" t="s">
        <v>61</v>
      </c>
      <c r="C16" s="4">
        <v>3</v>
      </c>
      <c r="D16" s="4" t="s">
        <v>62</v>
      </c>
      <c r="E16" s="4" t="s">
        <v>37</v>
      </c>
      <c r="F16" s="4">
        <v>2</v>
      </c>
      <c r="G16" s="4">
        <v>3</v>
      </c>
      <c r="H16" s="4">
        <v>1</v>
      </c>
      <c r="I16" s="4">
        <v>45</v>
      </c>
      <c r="J16" s="4">
        <v>18</v>
      </c>
      <c r="K16" s="4">
        <v>0</v>
      </c>
      <c r="L16" s="5">
        <f t="shared" si="0"/>
        <v>0.33333333333333331</v>
      </c>
      <c r="M16" s="4" t="s">
        <v>18</v>
      </c>
      <c r="N16" s="4" t="str">
        <f t="shared" si="1"/>
        <v>OK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</row>
    <row r="17" spans="1:318" x14ac:dyDescent="0.45">
      <c r="A17" s="7" t="s">
        <v>63</v>
      </c>
      <c r="B17" s="7" t="s">
        <v>64</v>
      </c>
      <c r="C17" s="7">
        <v>2</v>
      </c>
      <c r="D17" s="7" t="s">
        <v>26</v>
      </c>
      <c r="E17" s="7" t="s">
        <v>42</v>
      </c>
      <c r="F17" s="7">
        <v>9</v>
      </c>
      <c r="G17" s="7">
        <v>11</v>
      </c>
      <c r="H17" s="7">
        <v>4</v>
      </c>
      <c r="I17" s="7">
        <v>16</v>
      </c>
      <c r="J17" s="7">
        <v>9</v>
      </c>
      <c r="K17" s="7">
        <v>0</v>
      </c>
      <c r="L17" s="8">
        <f t="shared" si="0"/>
        <v>0.36363636363636365</v>
      </c>
      <c r="M17" s="7" t="s">
        <v>18</v>
      </c>
      <c r="N17" s="7" t="str">
        <f t="shared" si="1"/>
        <v>OK</v>
      </c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</row>
    <row r="18" spans="1:318" s="6" customFormat="1" x14ac:dyDescent="0.45">
      <c r="A18" s="4" t="s">
        <v>65</v>
      </c>
      <c r="B18" s="4" t="s">
        <v>66</v>
      </c>
      <c r="C18" s="4">
        <v>47</v>
      </c>
      <c r="D18" s="4" t="s">
        <v>26</v>
      </c>
      <c r="E18" s="4" t="s">
        <v>27</v>
      </c>
      <c r="F18" s="4">
        <v>38</v>
      </c>
      <c r="G18" s="4">
        <v>45</v>
      </c>
      <c r="H18" s="4">
        <v>22</v>
      </c>
      <c r="I18" s="4">
        <v>5</v>
      </c>
      <c r="J18" s="4">
        <v>8</v>
      </c>
      <c r="K18" s="4">
        <v>1</v>
      </c>
      <c r="L18" s="5">
        <f t="shared" si="0"/>
        <v>0.48888888888888887</v>
      </c>
      <c r="M18" s="4" t="s">
        <v>23</v>
      </c>
      <c r="N18" s="4" t="str">
        <f t="shared" si="1"/>
        <v>Review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</row>
    <row r="19" spans="1:318" x14ac:dyDescent="0.45">
      <c r="A19" s="7" t="s">
        <v>67</v>
      </c>
      <c r="B19" s="7" t="s">
        <v>68</v>
      </c>
      <c r="C19" s="7">
        <v>22</v>
      </c>
      <c r="D19" s="7" t="s">
        <v>33</v>
      </c>
      <c r="E19" s="7" t="s">
        <v>27</v>
      </c>
      <c r="F19" s="7">
        <v>19</v>
      </c>
      <c r="G19" s="7">
        <v>24</v>
      </c>
      <c r="H19" s="7">
        <v>12</v>
      </c>
      <c r="I19" s="7">
        <v>8</v>
      </c>
      <c r="J19" s="7">
        <v>7</v>
      </c>
      <c r="K19" s="7">
        <v>0</v>
      </c>
      <c r="L19" s="8">
        <f t="shared" si="0"/>
        <v>0.5</v>
      </c>
      <c r="M19" s="7" t="s">
        <v>18</v>
      </c>
      <c r="N19" s="7" t="str">
        <f t="shared" si="1"/>
        <v>OK</v>
      </c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</row>
    <row r="20" spans="1:318" s="6" customFormat="1" x14ac:dyDescent="0.45">
      <c r="A20" s="9" t="s">
        <v>69</v>
      </c>
      <c r="B20" s="9" t="s">
        <v>70</v>
      </c>
      <c r="C20" s="9">
        <v>40</v>
      </c>
      <c r="D20" s="9" t="s">
        <v>26</v>
      </c>
      <c r="E20" s="4" t="s">
        <v>42</v>
      </c>
      <c r="F20" s="4">
        <v>28</v>
      </c>
      <c r="G20" s="4">
        <v>34</v>
      </c>
      <c r="H20" s="4">
        <v>18</v>
      </c>
      <c r="I20" s="4">
        <v>9</v>
      </c>
      <c r="J20" s="4">
        <v>7</v>
      </c>
      <c r="K20" s="4">
        <v>0</v>
      </c>
      <c r="L20" s="5">
        <f t="shared" si="0"/>
        <v>0.52941176470588236</v>
      </c>
      <c r="M20" s="4" t="s">
        <v>18</v>
      </c>
      <c r="N20" s="4" t="str">
        <f t="shared" si="1"/>
        <v>OK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</row>
    <row r="21" spans="1:318" x14ac:dyDescent="0.45">
      <c r="A21" s="7" t="s">
        <v>71</v>
      </c>
      <c r="B21" s="7" t="s">
        <v>72</v>
      </c>
      <c r="C21" s="7">
        <v>5</v>
      </c>
      <c r="D21" s="7" t="s">
        <v>73</v>
      </c>
      <c r="E21" s="7" t="s">
        <v>17</v>
      </c>
      <c r="F21" s="7">
        <v>20</v>
      </c>
      <c r="G21" s="7">
        <v>24</v>
      </c>
      <c r="H21" s="7">
        <v>9</v>
      </c>
      <c r="I21" s="7">
        <v>10</v>
      </c>
      <c r="J21" s="7">
        <v>4</v>
      </c>
      <c r="K21" s="7">
        <v>0</v>
      </c>
      <c r="L21" s="8">
        <f t="shared" si="0"/>
        <v>0.375</v>
      </c>
      <c r="M21" s="7" t="s">
        <v>18</v>
      </c>
      <c r="N21" s="7" t="str">
        <f t="shared" si="1"/>
        <v>OK</v>
      </c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</row>
    <row r="22" spans="1:318" s="6" customFormat="1" x14ac:dyDescent="0.45">
      <c r="A22" s="4" t="s">
        <v>74</v>
      </c>
      <c r="B22" s="4" t="s">
        <v>75</v>
      </c>
      <c r="C22" s="4">
        <v>4</v>
      </c>
      <c r="D22" s="4" t="s">
        <v>33</v>
      </c>
      <c r="E22" s="4" t="s">
        <v>17</v>
      </c>
      <c r="F22" s="4">
        <v>8</v>
      </c>
      <c r="G22" s="4">
        <v>27</v>
      </c>
      <c r="H22" s="4">
        <v>14</v>
      </c>
      <c r="I22" s="4">
        <v>7</v>
      </c>
      <c r="J22" s="4">
        <v>5</v>
      </c>
      <c r="K22" s="4">
        <v>1</v>
      </c>
      <c r="L22" s="5">
        <f t="shared" si="0"/>
        <v>0.51851851851851849</v>
      </c>
      <c r="M22" s="4" t="s">
        <v>23</v>
      </c>
      <c r="N22" s="4" t="str">
        <f t="shared" si="1"/>
        <v>Review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</row>
    <row r="23" spans="1:318" x14ac:dyDescent="0.45">
      <c r="A23" s="7" t="s">
        <v>76</v>
      </c>
      <c r="B23" s="7" t="s">
        <v>77</v>
      </c>
      <c r="C23" s="7">
        <v>4</v>
      </c>
      <c r="D23" s="7" t="s">
        <v>33</v>
      </c>
      <c r="E23" s="7" t="s">
        <v>17</v>
      </c>
      <c r="F23" s="7">
        <v>25</v>
      </c>
      <c r="G23" s="7">
        <v>29</v>
      </c>
      <c r="H23" s="7">
        <v>16</v>
      </c>
      <c r="I23" s="7">
        <v>5</v>
      </c>
      <c r="J23" s="7">
        <v>5</v>
      </c>
      <c r="K23" s="7">
        <v>1</v>
      </c>
      <c r="L23" s="8">
        <f t="shared" si="0"/>
        <v>0.55172413793103448</v>
      </c>
      <c r="M23" s="7" t="s">
        <v>23</v>
      </c>
      <c r="N23" s="7" t="str">
        <f t="shared" si="1"/>
        <v>Review</v>
      </c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</row>
    <row r="24" spans="1:318" s="6" customFormat="1" x14ac:dyDescent="0.45">
      <c r="A24" s="4" t="s">
        <v>78</v>
      </c>
      <c r="B24" s="4" t="s">
        <v>79</v>
      </c>
      <c r="C24" s="4">
        <v>18</v>
      </c>
      <c r="D24" s="4" t="s">
        <v>33</v>
      </c>
      <c r="E24" s="4" t="s">
        <v>17</v>
      </c>
      <c r="F24" s="4">
        <v>32</v>
      </c>
      <c r="G24" s="4">
        <v>38</v>
      </c>
      <c r="H24" s="4">
        <v>22</v>
      </c>
      <c r="I24" s="4">
        <v>4</v>
      </c>
      <c r="J24" s="4">
        <v>5</v>
      </c>
      <c r="K24" s="4">
        <v>1</v>
      </c>
      <c r="L24" s="5">
        <f t="shared" si="0"/>
        <v>0.57894736842105265</v>
      </c>
      <c r="M24" s="4" t="s">
        <v>23</v>
      </c>
      <c r="N24" s="4" t="str">
        <f t="shared" si="1"/>
        <v>Review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</row>
    <row r="25" spans="1:318" x14ac:dyDescent="0.45">
      <c r="A25" s="7" t="s">
        <v>80</v>
      </c>
      <c r="B25" s="7" t="s">
        <v>81</v>
      </c>
      <c r="C25" s="7">
        <v>13</v>
      </c>
      <c r="D25" s="7" t="s">
        <v>33</v>
      </c>
      <c r="E25" s="7" t="s">
        <v>17</v>
      </c>
      <c r="F25" s="7">
        <v>29</v>
      </c>
      <c r="G25" s="7">
        <v>34</v>
      </c>
      <c r="H25" s="7">
        <v>19</v>
      </c>
      <c r="I25" s="7">
        <v>5</v>
      </c>
      <c r="J25" s="7">
        <v>5</v>
      </c>
      <c r="K25" s="7">
        <v>1</v>
      </c>
      <c r="L25" s="8">
        <f t="shared" si="0"/>
        <v>0.55882352941176472</v>
      </c>
      <c r="M25" s="7" t="s">
        <v>23</v>
      </c>
      <c r="N25" s="7" t="str">
        <f t="shared" si="1"/>
        <v>Review</v>
      </c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</row>
    <row r="26" spans="1:318" s="6" customFormat="1" x14ac:dyDescent="0.45">
      <c r="A26" s="4" t="s">
        <v>82</v>
      </c>
      <c r="B26" s="4" t="s">
        <v>83</v>
      </c>
      <c r="C26" s="4">
        <v>21</v>
      </c>
      <c r="D26" s="4" t="s">
        <v>33</v>
      </c>
      <c r="E26" s="4" t="s">
        <v>17</v>
      </c>
      <c r="F26" s="4">
        <v>34</v>
      </c>
      <c r="G26" s="4">
        <v>40</v>
      </c>
      <c r="H26" s="4">
        <v>24</v>
      </c>
      <c r="I26" s="4">
        <v>4</v>
      </c>
      <c r="J26" s="4">
        <v>5</v>
      </c>
      <c r="K26" s="4">
        <v>1</v>
      </c>
      <c r="L26" s="5">
        <f t="shared" si="0"/>
        <v>0.6</v>
      </c>
      <c r="M26" s="4" t="s">
        <v>23</v>
      </c>
      <c r="N26" s="4" t="str">
        <f t="shared" si="1"/>
        <v>Review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</row>
    <row r="27" spans="1:318" x14ac:dyDescent="0.45">
      <c r="A27" s="7" t="s">
        <v>84</v>
      </c>
      <c r="B27" s="7" t="s">
        <v>85</v>
      </c>
      <c r="C27" s="7">
        <v>26</v>
      </c>
      <c r="D27" s="7" t="s">
        <v>33</v>
      </c>
      <c r="E27" s="7" t="s">
        <v>17</v>
      </c>
      <c r="F27" s="7">
        <v>8</v>
      </c>
      <c r="G27" s="7">
        <v>42</v>
      </c>
      <c r="H27" s="7">
        <v>26</v>
      </c>
      <c r="I27" s="7">
        <v>3</v>
      </c>
      <c r="J27" s="7">
        <v>5</v>
      </c>
      <c r="K27" s="7">
        <v>1</v>
      </c>
      <c r="L27" s="8">
        <f t="shared" si="0"/>
        <v>0.61904761904761907</v>
      </c>
      <c r="M27" s="7" t="s">
        <v>23</v>
      </c>
      <c r="N27" s="7" t="str">
        <f t="shared" si="1"/>
        <v>Review</v>
      </c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</row>
    <row r="28" spans="1:318" s="6" customFormat="1" x14ac:dyDescent="0.45">
      <c r="A28" s="4" t="s">
        <v>86</v>
      </c>
      <c r="B28" s="4" t="s">
        <v>87</v>
      </c>
      <c r="C28" s="4">
        <v>10</v>
      </c>
      <c r="D28" s="4" t="s">
        <v>26</v>
      </c>
      <c r="E28" s="4" t="s">
        <v>27</v>
      </c>
      <c r="F28" s="4">
        <v>27</v>
      </c>
      <c r="G28" s="4">
        <v>33</v>
      </c>
      <c r="H28" s="4">
        <v>15</v>
      </c>
      <c r="I28" s="4">
        <v>8</v>
      </c>
      <c r="J28" s="4">
        <v>8</v>
      </c>
      <c r="K28" s="4">
        <v>0</v>
      </c>
      <c r="L28" s="5">
        <f t="shared" si="0"/>
        <v>0.45454545454545453</v>
      </c>
      <c r="M28" s="4" t="s">
        <v>18</v>
      </c>
      <c r="N28" s="4" t="str">
        <f t="shared" si="1"/>
        <v>OK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</row>
    <row r="29" spans="1:318" x14ac:dyDescent="0.45">
      <c r="A29" s="7" t="s">
        <v>88</v>
      </c>
      <c r="B29" s="7" t="s">
        <v>89</v>
      </c>
      <c r="C29" s="7">
        <v>20</v>
      </c>
      <c r="D29" s="7" t="s">
        <v>26</v>
      </c>
      <c r="E29" s="7" t="s">
        <v>27</v>
      </c>
      <c r="F29" s="7">
        <v>18</v>
      </c>
      <c r="G29" s="7">
        <v>22</v>
      </c>
      <c r="H29" s="7">
        <v>11</v>
      </c>
      <c r="I29" s="7">
        <v>10</v>
      </c>
      <c r="J29" s="7">
        <v>7</v>
      </c>
      <c r="K29" s="7">
        <v>0</v>
      </c>
      <c r="L29" s="8">
        <f t="shared" si="0"/>
        <v>0.5</v>
      </c>
      <c r="M29" s="7" t="s">
        <v>18</v>
      </c>
      <c r="N29" s="7" t="str">
        <f t="shared" si="1"/>
        <v>OK</v>
      </c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</row>
    <row r="30" spans="1:318" s="6" customFormat="1" x14ac:dyDescent="0.45">
      <c r="A30" s="4" t="s">
        <v>90</v>
      </c>
      <c r="B30" s="4" t="s">
        <v>91</v>
      </c>
      <c r="C30" s="4">
        <v>20</v>
      </c>
      <c r="D30" s="4" t="s">
        <v>26</v>
      </c>
      <c r="E30" s="4" t="s">
        <v>27</v>
      </c>
      <c r="F30" s="4">
        <v>21</v>
      </c>
      <c r="G30" s="4">
        <v>26</v>
      </c>
      <c r="H30" s="4">
        <v>13</v>
      </c>
      <c r="I30" s="4">
        <v>8</v>
      </c>
      <c r="J30" s="4">
        <v>7</v>
      </c>
      <c r="K30" s="4">
        <v>0</v>
      </c>
      <c r="L30" s="5">
        <f t="shared" si="0"/>
        <v>0.5</v>
      </c>
      <c r="M30" s="4" t="s">
        <v>18</v>
      </c>
      <c r="N30" s="4" t="str">
        <f t="shared" si="1"/>
        <v>OK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</row>
    <row r="31" spans="1:318" x14ac:dyDescent="0.45">
      <c r="A31" s="7" t="s">
        <v>92</v>
      </c>
      <c r="B31" s="7" t="s">
        <v>93</v>
      </c>
      <c r="C31" s="7">
        <v>10</v>
      </c>
      <c r="D31" s="7" t="s">
        <v>26</v>
      </c>
      <c r="E31" s="7" t="s">
        <v>42</v>
      </c>
      <c r="F31" s="7">
        <v>12</v>
      </c>
      <c r="G31" s="7">
        <v>16</v>
      </c>
      <c r="H31" s="7">
        <v>6</v>
      </c>
      <c r="I31" s="7">
        <v>14</v>
      </c>
      <c r="J31" s="7">
        <v>6</v>
      </c>
      <c r="K31" s="7">
        <v>0</v>
      </c>
      <c r="L31" s="8">
        <f t="shared" si="0"/>
        <v>0.375</v>
      </c>
      <c r="M31" s="7" t="s">
        <v>18</v>
      </c>
      <c r="N31" s="7" t="str">
        <f t="shared" si="1"/>
        <v>OK</v>
      </c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</row>
    <row r="32" spans="1:318" s="6" customFormat="1" x14ac:dyDescent="0.45">
      <c r="A32" s="4" t="s">
        <v>94</v>
      </c>
      <c r="B32" s="4" t="s">
        <v>95</v>
      </c>
      <c r="C32" s="4">
        <v>3</v>
      </c>
      <c r="D32" s="4" t="s">
        <v>16</v>
      </c>
      <c r="E32" s="4" t="s">
        <v>42</v>
      </c>
      <c r="F32" s="4">
        <v>10</v>
      </c>
      <c r="G32" s="4">
        <v>12</v>
      </c>
      <c r="H32" s="4">
        <v>5</v>
      </c>
      <c r="I32" s="4">
        <v>16</v>
      </c>
      <c r="J32" s="4">
        <v>6</v>
      </c>
      <c r="K32" s="4">
        <v>0</v>
      </c>
      <c r="L32" s="5">
        <f t="shared" si="0"/>
        <v>0.41666666666666669</v>
      </c>
      <c r="M32" s="4" t="s">
        <v>18</v>
      </c>
      <c r="N32" s="4" t="str">
        <f t="shared" si="1"/>
        <v>OK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</row>
    <row r="33" spans="1:318" x14ac:dyDescent="0.45">
      <c r="A33" s="7" t="s">
        <v>96</v>
      </c>
      <c r="B33" s="7" t="s">
        <v>97</v>
      </c>
      <c r="C33" s="7">
        <v>5</v>
      </c>
      <c r="D33" s="7" t="s">
        <v>33</v>
      </c>
      <c r="E33" s="7" t="s">
        <v>42</v>
      </c>
      <c r="F33" s="7">
        <v>11</v>
      </c>
      <c r="G33" s="7">
        <v>14</v>
      </c>
      <c r="H33" s="7">
        <v>5</v>
      </c>
      <c r="I33" s="7">
        <v>13</v>
      </c>
      <c r="J33" s="7">
        <v>7</v>
      </c>
      <c r="K33" s="7">
        <v>0</v>
      </c>
      <c r="L33" s="8">
        <f t="shared" si="0"/>
        <v>0.35714285714285715</v>
      </c>
      <c r="M33" s="7" t="s">
        <v>18</v>
      </c>
      <c r="N33" s="7" t="str">
        <f t="shared" si="1"/>
        <v>OK</v>
      </c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</row>
    <row r="34" spans="1:318" s="6" customFormat="1" x14ac:dyDescent="0.45">
      <c r="A34" s="4" t="s">
        <v>98</v>
      </c>
      <c r="B34" s="4" t="s">
        <v>99</v>
      </c>
      <c r="C34" s="4">
        <v>20</v>
      </c>
      <c r="D34" s="4" t="s">
        <v>33</v>
      </c>
      <c r="E34" s="4" t="s">
        <v>27</v>
      </c>
      <c r="F34" s="4">
        <v>17</v>
      </c>
      <c r="G34" s="4">
        <v>22</v>
      </c>
      <c r="H34" s="4">
        <v>10</v>
      </c>
      <c r="I34" s="4">
        <v>11</v>
      </c>
      <c r="J34" s="4">
        <v>8</v>
      </c>
      <c r="K34" s="4">
        <v>0</v>
      </c>
      <c r="L34" s="5">
        <f t="shared" si="0"/>
        <v>0.45454545454545453</v>
      </c>
      <c r="M34" s="4" t="s">
        <v>18</v>
      </c>
      <c r="N34" s="4" t="str">
        <f t="shared" si="1"/>
        <v>OK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</row>
    <row r="35" spans="1:318" x14ac:dyDescent="0.45">
      <c r="A35" s="7" t="s">
        <v>100</v>
      </c>
      <c r="B35" s="7" t="s">
        <v>101</v>
      </c>
      <c r="C35" s="7">
        <v>5</v>
      </c>
      <c r="D35" s="7" t="s">
        <v>26</v>
      </c>
      <c r="E35" s="7" t="s">
        <v>27</v>
      </c>
      <c r="F35" s="7">
        <v>13</v>
      </c>
      <c r="G35" s="7">
        <v>16</v>
      </c>
      <c r="H35" s="7">
        <v>6</v>
      </c>
      <c r="I35" s="7">
        <v>13</v>
      </c>
      <c r="J35" s="7">
        <v>8</v>
      </c>
      <c r="K35" s="7">
        <v>0</v>
      </c>
      <c r="L35" s="8">
        <f t="shared" si="0"/>
        <v>0.375</v>
      </c>
      <c r="M35" s="7" t="s">
        <v>18</v>
      </c>
      <c r="N35" s="7" t="str">
        <f t="shared" si="1"/>
        <v>OK</v>
      </c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</row>
    <row r="36" spans="1:318" s="6" customFormat="1" x14ac:dyDescent="0.45">
      <c r="A36" s="4" t="s">
        <v>102</v>
      </c>
      <c r="B36" s="4" t="s">
        <v>103</v>
      </c>
      <c r="C36" s="4">
        <v>10</v>
      </c>
      <c r="D36" s="4" t="s">
        <v>33</v>
      </c>
      <c r="E36" s="4" t="s">
        <v>104</v>
      </c>
      <c r="F36" s="4">
        <v>14</v>
      </c>
      <c r="G36" s="4">
        <v>18</v>
      </c>
      <c r="H36" s="4">
        <v>7</v>
      </c>
      <c r="I36" s="4">
        <v>12</v>
      </c>
      <c r="J36" s="4">
        <v>9</v>
      </c>
      <c r="K36" s="4">
        <v>0</v>
      </c>
      <c r="L36" s="5">
        <f t="shared" si="0"/>
        <v>0.3888888888888889</v>
      </c>
      <c r="M36" s="4" t="s">
        <v>18</v>
      </c>
      <c r="N36" s="4" t="str">
        <f t="shared" si="1"/>
        <v>OK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</row>
    <row r="37" spans="1:318" x14ac:dyDescent="0.45">
      <c r="A37" s="7" t="s">
        <v>105</v>
      </c>
      <c r="B37" s="7" t="s">
        <v>106</v>
      </c>
      <c r="C37" s="7">
        <v>11</v>
      </c>
      <c r="D37" s="7" t="s">
        <v>26</v>
      </c>
      <c r="E37" s="7" t="s">
        <v>42</v>
      </c>
      <c r="F37" s="7">
        <v>15</v>
      </c>
      <c r="G37" s="7">
        <v>19</v>
      </c>
      <c r="H37" s="7">
        <v>8</v>
      </c>
      <c r="I37" s="7">
        <v>11</v>
      </c>
      <c r="J37" s="7">
        <v>7</v>
      </c>
      <c r="K37" s="7">
        <v>0</v>
      </c>
      <c r="L37" s="8">
        <f t="shared" si="0"/>
        <v>0.42105263157894735</v>
      </c>
      <c r="M37" s="7" t="s">
        <v>18</v>
      </c>
      <c r="N37" s="7" t="str">
        <f t="shared" si="1"/>
        <v>OK</v>
      </c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</row>
    <row r="38" spans="1:318" s="6" customFormat="1" x14ac:dyDescent="0.45">
      <c r="A38" s="4" t="s">
        <v>107</v>
      </c>
      <c r="B38" s="4" t="s">
        <v>108</v>
      </c>
      <c r="C38" s="4">
        <v>10</v>
      </c>
      <c r="D38" s="4" t="s">
        <v>62</v>
      </c>
      <c r="E38" s="4" t="s">
        <v>17</v>
      </c>
      <c r="F38" s="4">
        <v>24</v>
      </c>
      <c r="G38" s="4">
        <v>29</v>
      </c>
      <c r="H38" s="4">
        <v>15</v>
      </c>
      <c r="I38" s="4">
        <v>6</v>
      </c>
      <c r="J38" s="4">
        <v>5</v>
      </c>
      <c r="K38" s="4">
        <v>0</v>
      </c>
      <c r="L38" s="5">
        <f t="shared" si="0"/>
        <v>0.51724137931034486</v>
      </c>
      <c r="M38" s="4" t="s">
        <v>18</v>
      </c>
      <c r="N38" s="4" t="str">
        <f t="shared" si="1"/>
        <v>OK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</row>
    <row r="39" spans="1:318" x14ac:dyDescent="0.45">
      <c r="A39" s="7" t="s">
        <v>109</v>
      </c>
      <c r="B39" s="7" t="s">
        <v>110</v>
      </c>
      <c r="C39" s="7">
        <v>4</v>
      </c>
      <c r="D39" s="7" t="s">
        <v>26</v>
      </c>
      <c r="E39" s="7" t="s">
        <v>111</v>
      </c>
      <c r="F39" s="7">
        <v>12</v>
      </c>
      <c r="G39" s="7">
        <v>15</v>
      </c>
      <c r="H39" s="7">
        <v>6</v>
      </c>
      <c r="I39" s="7">
        <v>12</v>
      </c>
      <c r="J39" s="7">
        <v>8</v>
      </c>
      <c r="K39" s="7">
        <v>0</v>
      </c>
      <c r="L39" s="8">
        <f t="shared" si="0"/>
        <v>0.4</v>
      </c>
      <c r="M39" s="7" t="s">
        <v>18</v>
      </c>
      <c r="N39" s="7" t="str">
        <f t="shared" si="1"/>
        <v>OK</v>
      </c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</row>
    <row r="40" spans="1:318" s="6" customFormat="1" x14ac:dyDescent="0.45">
      <c r="A40" s="4" t="s">
        <v>112</v>
      </c>
      <c r="B40" s="4" t="s">
        <v>113</v>
      </c>
      <c r="C40" s="4">
        <v>25</v>
      </c>
      <c r="D40" s="4" t="s">
        <v>26</v>
      </c>
      <c r="E40" s="4" t="s">
        <v>30</v>
      </c>
      <c r="F40" s="4">
        <v>23</v>
      </c>
      <c r="G40" s="4">
        <v>30</v>
      </c>
      <c r="H40" s="4">
        <v>14</v>
      </c>
      <c r="I40" s="4">
        <v>7</v>
      </c>
      <c r="J40" s="4">
        <v>13</v>
      </c>
      <c r="K40" s="4">
        <v>1</v>
      </c>
      <c r="L40" s="5">
        <f t="shared" si="0"/>
        <v>0.46666666666666667</v>
      </c>
      <c r="M40" s="4" t="s">
        <v>23</v>
      </c>
      <c r="N40" s="4" t="str">
        <f t="shared" si="1"/>
        <v>Review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</row>
    <row r="41" spans="1:318" x14ac:dyDescent="0.45">
      <c r="A41" s="7" t="s">
        <v>114</v>
      </c>
      <c r="B41" s="7" t="s">
        <v>115</v>
      </c>
      <c r="C41" s="7">
        <v>5</v>
      </c>
      <c r="D41" s="7" t="s">
        <v>16</v>
      </c>
      <c r="E41" s="7" t="s">
        <v>111</v>
      </c>
      <c r="F41" s="7">
        <v>14</v>
      </c>
      <c r="G41" s="7">
        <v>18</v>
      </c>
      <c r="H41" s="7">
        <v>7</v>
      </c>
      <c r="I41" s="7">
        <v>10</v>
      </c>
      <c r="J41" s="7">
        <v>8</v>
      </c>
      <c r="K41" s="7">
        <v>0</v>
      </c>
      <c r="L41" s="8">
        <f t="shared" si="0"/>
        <v>0.3888888888888889</v>
      </c>
      <c r="M41" s="7" t="s">
        <v>18</v>
      </c>
      <c r="N41" s="7" t="str">
        <f t="shared" si="1"/>
        <v>OK</v>
      </c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</row>
    <row r="42" spans="1:318" s="6" customFormat="1" x14ac:dyDescent="0.45">
      <c r="A42" s="4" t="s">
        <v>116</v>
      </c>
      <c r="B42" s="4" t="s">
        <v>117</v>
      </c>
      <c r="C42" s="4">
        <v>2</v>
      </c>
      <c r="D42" s="4" t="s">
        <v>16</v>
      </c>
      <c r="E42" s="4" t="s">
        <v>17</v>
      </c>
      <c r="F42" s="4">
        <v>9</v>
      </c>
      <c r="G42" s="4">
        <v>11</v>
      </c>
      <c r="H42" s="4">
        <v>4</v>
      </c>
      <c r="I42" s="4">
        <v>17</v>
      </c>
      <c r="J42" s="4">
        <v>5</v>
      </c>
      <c r="K42" s="4">
        <v>0</v>
      </c>
      <c r="L42" s="5">
        <f t="shared" si="0"/>
        <v>0.36363636363636365</v>
      </c>
      <c r="M42" s="4" t="s">
        <v>18</v>
      </c>
      <c r="N42" s="4" t="str">
        <f t="shared" si="1"/>
        <v>OK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</row>
    <row r="43" spans="1:318" x14ac:dyDescent="0.45">
      <c r="A43" s="7" t="s">
        <v>118</v>
      </c>
      <c r="B43" s="7" t="s">
        <v>119</v>
      </c>
      <c r="C43" s="7">
        <v>5</v>
      </c>
      <c r="D43" s="7" t="s">
        <v>26</v>
      </c>
      <c r="E43" s="7" t="s">
        <v>120</v>
      </c>
      <c r="F43" s="7">
        <v>11</v>
      </c>
      <c r="G43" s="7">
        <v>14</v>
      </c>
      <c r="H43" s="7">
        <v>5</v>
      </c>
      <c r="I43" s="7">
        <v>14</v>
      </c>
      <c r="J43" s="7">
        <v>9</v>
      </c>
      <c r="K43" s="7">
        <v>0</v>
      </c>
      <c r="L43" s="8">
        <f t="shared" si="0"/>
        <v>0.35714285714285715</v>
      </c>
      <c r="M43" s="7" t="s">
        <v>18</v>
      </c>
      <c r="N43" s="7" t="str">
        <f t="shared" si="1"/>
        <v>OK</v>
      </c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</row>
    <row r="44" spans="1:318" x14ac:dyDescent="0.45">
      <c r="A44" s="4" t="s">
        <v>121</v>
      </c>
      <c r="B44" s="4" t="s">
        <v>122</v>
      </c>
      <c r="C44" s="4">
        <v>1</v>
      </c>
      <c r="D44" s="4" t="s">
        <v>36</v>
      </c>
      <c r="E44" s="4" t="s">
        <v>37</v>
      </c>
      <c r="F44" s="4">
        <v>2</v>
      </c>
      <c r="G44" s="4">
        <v>2</v>
      </c>
      <c r="H44" s="4">
        <v>1</v>
      </c>
      <c r="I44" s="4">
        <v>60</v>
      </c>
      <c r="J44" s="4">
        <v>25</v>
      </c>
      <c r="K44" s="4">
        <v>0</v>
      </c>
      <c r="L44" s="5">
        <f t="shared" si="0"/>
        <v>0.5</v>
      </c>
      <c r="M44" s="4" t="s">
        <v>18</v>
      </c>
      <c r="N44" s="4" t="str">
        <f t="shared" si="1"/>
        <v>OK</v>
      </c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</row>
    <row r="45" spans="1:318" x14ac:dyDescent="0.45">
      <c r="A45" s="7" t="s">
        <v>123</v>
      </c>
      <c r="B45" s="7" t="s">
        <v>124</v>
      </c>
      <c r="C45" s="7">
        <v>7</v>
      </c>
      <c r="D45" s="7" t="s">
        <v>26</v>
      </c>
      <c r="E45" s="7" t="s">
        <v>125</v>
      </c>
      <c r="F45" s="7">
        <v>10</v>
      </c>
      <c r="G45" s="7">
        <v>13</v>
      </c>
      <c r="H45" s="7">
        <v>5</v>
      </c>
      <c r="I45" s="7">
        <v>16</v>
      </c>
      <c r="J45" s="7">
        <v>10</v>
      </c>
      <c r="K45" s="7">
        <v>0</v>
      </c>
      <c r="L45" s="8">
        <f t="shared" si="0"/>
        <v>0.38461538461538464</v>
      </c>
      <c r="M45" s="7" t="s">
        <v>18</v>
      </c>
      <c r="N45" s="7" t="str">
        <f t="shared" si="1"/>
        <v>OK</v>
      </c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</row>
    <row r="46" spans="1:318" s="6" customFormat="1" x14ac:dyDescent="0.45">
      <c r="A46" s="4" t="s">
        <v>126</v>
      </c>
      <c r="B46" s="4" t="s">
        <v>127</v>
      </c>
      <c r="C46" s="4">
        <v>2</v>
      </c>
      <c r="D46" s="4" t="s">
        <v>26</v>
      </c>
      <c r="E46" s="4" t="s">
        <v>27</v>
      </c>
      <c r="F46" s="4">
        <v>8</v>
      </c>
      <c r="G46" s="4">
        <v>10</v>
      </c>
      <c r="H46" s="4">
        <v>3</v>
      </c>
      <c r="I46" s="4">
        <v>19</v>
      </c>
      <c r="J46" s="4">
        <v>8</v>
      </c>
      <c r="K46" s="4">
        <v>0</v>
      </c>
      <c r="L46" s="5">
        <f t="shared" si="0"/>
        <v>0.3</v>
      </c>
      <c r="M46" s="4" t="s">
        <v>18</v>
      </c>
      <c r="N46" s="4" t="str">
        <f t="shared" si="1"/>
        <v>OK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</row>
    <row r="47" spans="1:318" x14ac:dyDescent="0.45">
      <c r="A47" s="7" t="s">
        <v>128</v>
      </c>
      <c r="B47" s="7" t="s">
        <v>129</v>
      </c>
      <c r="C47" s="7">
        <v>35</v>
      </c>
      <c r="D47" s="7" t="s">
        <v>26</v>
      </c>
      <c r="E47" s="7" t="s">
        <v>27</v>
      </c>
      <c r="F47" s="7">
        <v>27</v>
      </c>
      <c r="G47" s="7">
        <v>33</v>
      </c>
      <c r="H47" s="7">
        <v>16</v>
      </c>
      <c r="I47" s="7">
        <v>7</v>
      </c>
      <c r="J47" s="7">
        <v>7</v>
      </c>
      <c r="K47" s="7">
        <v>0</v>
      </c>
      <c r="L47" s="8">
        <f t="shared" si="0"/>
        <v>0.48484848484848486</v>
      </c>
      <c r="M47" s="7" t="s">
        <v>18</v>
      </c>
      <c r="N47" s="7" t="str">
        <f t="shared" si="1"/>
        <v>OK</v>
      </c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</row>
    <row r="48" spans="1:318" s="6" customFormat="1" x14ac:dyDescent="0.45">
      <c r="A48" s="4" t="s">
        <v>130</v>
      </c>
      <c r="B48" s="4" t="s">
        <v>131</v>
      </c>
      <c r="C48" s="4">
        <v>3</v>
      </c>
      <c r="D48" s="4" t="s">
        <v>33</v>
      </c>
      <c r="E48" s="4" t="s">
        <v>17</v>
      </c>
      <c r="F48" s="4">
        <v>14</v>
      </c>
      <c r="G48" s="4">
        <v>18</v>
      </c>
      <c r="H48" s="4">
        <v>7</v>
      </c>
      <c r="I48" s="4">
        <v>11</v>
      </c>
      <c r="J48" s="4">
        <v>5</v>
      </c>
      <c r="K48" s="4">
        <v>0</v>
      </c>
      <c r="L48" s="5">
        <f t="shared" si="0"/>
        <v>0.3888888888888889</v>
      </c>
      <c r="M48" s="4" t="s">
        <v>18</v>
      </c>
      <c r="N48" s="4" t="str">
        <f t="shared" si="1"/>
        <v>OK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</row>
    <row r="49" spans="1:318" x14ac:dyDescent="0.45">
      <c r="A49" s="7" t="s">
        <v>132</v>
      </c>
      <c r="B49" s="7" t="s">
        <v>133</v>
      </c>
      <c r="C49" s="7">
        <v>57</v>
      </c>
      <c r="D49" s="7" t="s">
        <v>26</v>
      </c>
      <c r="E49" s="7" t="s">
        <v>111</v>
      </c>
      <c r="F49" s="7">
        <v>39</v>
      </c>
      <c r="G49" s="7">
        <v>48</v>
      </c>
      <c r="H49" s="7">
        <v>24</v>
      </c>
      <c r="I49" s="7">
        <v>4</v>
      </c>
      <c r="J49" s="7">
        <v>8</v>
      </c>
      <c r="K49" s="7">
        <v>1</v>
      </c>
      <c r="L49" s="8">
        <f t="shared" si="0"/>
        <v>0.5</v>
      </c>
      <c r="M49" s="7" t="s">
        <v>23</v>
      </c>
      <c r="N49" s="7" t="str">
        <f t="shared" si="1"/>
        <v>Review</v>
      </c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</row>
    <row r="50" spans="1:318" s="6" customFormat="1" x14ac:dyDescent="0.45">
      <c r="A50" s="4" t="s">
        <v>134</v>
      </c>
      <c r="B50" s="4" t="s">
        <v>135</v>
      </c>
      <c r="C50" s="4">
        <v>10</v>
      </c>
      <c r="D50" s="4" t="s">
        <v>16</v>
      </c>
      <c r="E50" s="4" t="s">
        <v>42</v>
      </c>
      <c r="F50" s="4">
        <v>13</v>
      </c>
      <c r="G50" s="4">
        <v>17</v>
      </c>
      <c r="H50" s="4">
        <v>6</v>
      </c>
      <c r="I50" s="4">
        <v>12</v>
      </c>
      <c r="J50" s="4">
        <v>7</v>
      </c>
      <c r="K50" s="4">
        <v>0</v>
      </c>
      <c r="L50" s="5">
        <f t="shared" si="0"/>
        <v>0.35294117647058826</v>
      </c>
      <c r="M50" s="4" t="s">
        <v>18</v>
      </c>
      <c r="N50" s="4" t="str">
        <f t="shared" si="1"/>
        <v>OK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</row>
    <row r="51" spans="1:318" x14ac:dyDescent="0.45">
      <c r="A51" s="7" t="s">
        <v>136</v>
      </c>
      <c r="B51" s="7" t="s">
        <v>137</v>
      </c>
      <c r="C51" s="7">
        <v>3</v>
      </c>
      <c r="D51" s="7" t="s">
        <v>62</v>
      </c>
      <c r="E51" s="7" t="s">
        <v>37</v>
      </c>
      <c r="F51" s="7">
        <v>3</v>
      </c>
      <c r="G51" s="7">
        <v>4</v>
      </c>
      <c r="H51" s="7">
        <v>1</v>
      </c>
      <c r="I51" s="7">
        <v>50</v>
      </c>
      <c r="J51" s="7">
        <v>18</v>
      </c>
      <c r="K51" s="7">
        <v>0</v>
      </c>
      <c r="L51" s="8">
        <f t="shared" si="0"/>
        <v>0.25</v>
      </c>
      <c r="M51" s="7" t="s">
        <v>18</v>
      </c>
      <c r="N51" s="7" t="str">
        <f t="shared" si="1"/>
        <v>OK</v>
      </c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</row>
    <row r="52" spans="1:318" s="6" customFormat="1" x14ac:dyDescent="0.45">
      <c r="A52" s="4" t="s">
        <v>138</v>
      </c>
      <c r="B52" s="4" t="s">
        <v>139</v>
      </c>
      <c r="C52" s="4">
        <v>5</v>
      </c>
      <c r="D52" s="4" t="s">
        <v>26</v>
      </c>
      <c r="E52" s="4" t="s">
        <v>59</v>
      </c>
      <c r="F52" s="4">
        <v>10</v>
      </c>
      <c r="G52" s="4">
        <v>13</v>
      </c>
      <c r="H52" s="4">
        <v>4</v>
      </c>
      <c r="I52" s="4">
        <v>15</v>
      </c>
      <c r="J52" s="4">
        <v>8</v>
      </c>
      <c r="K52" s="4">
        <v>0</v>
      </c>
      <c r="L52" s="5">
        <f t="shared" si="0"/>
        <v>0.30769230769230771</v>
      </c>
      <c r="M52" s="4" t="s">
        <v>18</v>
      </c>
      <c r="N52" s="4" t="str">
        <f t="shared" si="1"/>
        <v>OK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</row>
    <row r="53" spans="1:318" x14ac:dyDescent="0.45">
      <c r="A53" s="7" t="s">
        <v>140</v>
      </c>
      <c r="B53" s="7" t="s">
        <v>141</v>
      </c>
      <c r="C53" s="7">
        <v>7</v>
      </c>
      <c r="D53" s="7" t="s">
        <v>26</v>
      </c>
      <c r="E53" s="7" t="s">
        <v>27</v>
      </c>
      <c r="F53" s="7">
        <v>14</v>
      </c>
      <c r="G53" s="7">
        <v>18</v>
      </c>
      <c r="H53" s="7">
        <v>7</v>
      </c>
      <c r="I53" s="7">
        <v>12</v>
      </c>
      <c r="J53" s="7">
        <v>8</v>
      </c>
      <c r="K53" s="7">
        <v>0</v>
      </c>
      <c r="L53" s="8">
        <f t="shared" si="0"/>
        <v>0.3888888888888889</v>
      </c>
      <c r="M53" s="7" t="s">
        <v>18</v>
      </c>
      <c r="N53" s="7" t="str">
        <f t="shared" si="1"/>
        <v>OK</v>
      </c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</row>
    <row r="54" spans="1:318" s="6" customFormat="1" x14ac:dyDescent="0.45">
      <c r="A54" s="4" t="s">
        <v>142</v>
      </c>
      <c r="B54" s="4" t="s">
        <v>143</v>
      </c>
      <c r="C54" s="4">
        <v>2</v>
      </c>
      <c r="D54" s="4" t="s">
        <v>26</v>
      </c>
      <c r="E54" s="4" t="s">
        <v>125</v>
      </c>
      <c r="F54" s="4">
        <v>8</v>
      </c>
      <c r="G54" s="4">
        <v>10</v>
      </c>
      <c r="H54" s="4">
        <v>3</v>
      </c>
      <c r="I54" s="4">
        <v>18</v>
      </c>
      <c r="J54" s="4">
        <v>9</v>
      </c>
      <c r="K54" s="4">
        <v>0</v>
      </c>
      <c r="L54" s="5">
        <f t="shared" si="0"/>
        <v>0.3</v>
      </c>
      <c r="M54" s="4" t="s">
        <v>18</v>
      </c>
      <c r="N54" s="4" t="str">
        <f t="shared" si="1"/>
        <v>OK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</row>
    <row r="55" spans="1:318" x14ac:dyDescent="0.45">
      <c r="A55" s="7" t="s">
        <v>144</v>
      </c>
      <c r="B55" s="7" t="s">
        <v>145</v>
      </c>
      <c r="C55" s="7">
        <v>5</v>
      </c>
      <c r="D55" s="7" t="s">
        <v>26</v>
      </c>
      <c r="E55" s="7" t="s">
        <v>42</v>
      </c>
      <c r="F55" s="7">
        <v>11</v>
      </c>
      <c r="G55" s="7">
        <v>14</v>
      </c>
      <c r="H55" s="7">
        <v>5</v>
      </c>
      <c r="I55" s="7">
        <v>14</v>
      </c>
      <c r="J55" s="7">
        <v>7</v>
      </c>
      <c r="K55" s="7">
        <v>0</v>
      </c>
      <c r="L55" s="8">
        <f t="shared" si="0"/>
        <v>0.35714285714285715</v>
      </c>
      <c r="M55" s="7" t="s">
        <v>18</v>
      </c>
      <c r="N55" s="7" t="str">
        <f t="shared" si="1"/>
        <v>OK</v>
      </c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</row>
    <row r="56" spans="1:318" s="6" customFormat="1" x14ac:dyDescent="0.45">
      <c r="A56" s="4" t="s">
        <v>146</v>
      </c>
      <c r="B56" s="4" t="s">
        <v>147</v>
      </c>
      <c r="C56" s="4">
        <v>5</v>
      </c>
      <c r="D56" s="4" t="s">
        <v>26</v>
      </c>
      <c r="E56" s="4" t="s">
        <v>42</v>
      </c>
      <c r="F56" s="4">
        <v>10</v>
      </c>
      <c r="G56" s="4">
        <v>13</v>
      </c>
      <c r="H56" s="4">
        <v>4</v>
      </c>
      <c r="I56" s="4">
        <v>16</v>
      </c>
      <c r="J56" s="4">
        <v>7</v>
      </c>
      <c r="K56" s="4">
        <v>0</v>
      </c>
      <c r="L56" s="5">
        <f t="shared" si="0"/>
        <v>0.30769230769230771</v>
      </c>
      <c r="M56" s="4" t="s">
        <v>18</v>
      </c>
      <c r="N56" s="4" t="str">
        <f t="shared" si="1"/>
        <v>OK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</row>
    <row r="57" spans="1:318" x14ac:dyDescent="0.45">
      <c r="A57" s="7" t="s">
        <v>148</v>
      </c>
      <c r="B57" s="7" t="s">
        <v>149</v>
      </c>
      <c r="C57" s="7">
        <v>24</v>
      </c>
      <c r="D57" s="7" t="s">
        <v>26</v>
      </c>
      <c r="E57" s="7" t="s">
        <v>42</v>
      </c>
      <c r="F57" s="7">
        <v>20</v>
      </c>
      <c r="G57" s="7">
        <v>25</v>
      </c>
      <c r="H57" s="7">
        <v>12</v>
      </c>
      <c r="I57" s="7">
        <v>9</v>
      </c>
      <c r="J57" s="7">
        <v>7</v>
      </c>
      <c r="K57" s="7">
        <v>0</v>
      </c>
      <c r="L57" s="8">
        <f t="shared" si="0"/>
        <v>0.48</v>
      </c>
      <c r="M57" s="7" t="s">
        <v>18</v>
      </c>
      <c r="N57" s="7" t="str">
        <f t="shared" si="1"/>
        <v>OK</v>
      </c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</row>
    <row r="58" spans="1:318" s="6" customFormat="1" x14ac:dyDescent="0.45">
      <c r="A58" s="4" t="s">
        <v>150</v>
      </c>
      <c r="B58" s="4" t="s">
        <v>151</v>
      </c>
      <c r="C58" s="4">
        <v>10</v>
      </c>
      <c r="D58" s="4" t="s">
        <v>33</v>
      </c>
      <c r="E58" s="4" t="s">
        <v>45</v>
      </c>
      <c r="F58" s="4">
        <v>13</v>
      </c>
      <c r="G58" s="4">
        <v>17</v>
      </c>
      <c r="H58" s="4">
        <v>6</v>
      </c>
      <c r="I58" s="4">
        <v>13</v>
      </c>
      <c r="J58" s="4">
        <v>9</v>
      </c>
      <c r="K58" s="4">
        <v>0</v>
      </c>
      <c r="L58" s="5">
        <f t="shared" si="0"/>
        <v>0.35294117647058826</v>
      </c>
      <c r="M58" s="4" t="s">
        <v>18</v>
      </c>
      <c r="N58" s="4" t="str">
        <f t="shared" si="1"/>
        <v>OK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</row>
    <row r="59" spans="1:318" x14ac:dyDescent="0.45">
      <c r="A59" s="7" t="s">
        <v>152</v>
      </c>
      <c r="B59" s="7" t="s">
        <v>153</v>
      </c>
      <c r="C59" s="7">
        <v>10</v>
      </c>
      <c r="D59" s="7" t="s">
        <v>33</v>
      </c>
      <c r="E59" s="7" t="s">
        <v>45</v>
      </c>
      <c r="F59" s="7">
        <v>12</v>
      </c>
      <c r="G59" s="7">
        <v>16</v>
      </c>
      <c r="H59" s="7">
        <v>6</v>
      </c>
      <c r="I59" s="7">
        <v>14</v>
      </c>
      <c r="J59" s="7">
        <v>9</v>
      </c>
      <c r="K59" s="7">
        <v>0</v>
      </c>
      <c r="L59" s="8">
        <f t="shared" si="0"/>
        <v>0.375</v>
      </c>
      <c r="M59" s="7" t="s">
        <v>18</v>
      </c>
      <c r="N59" s="7" t="str">
        <f t="shared" si="1"/>
        <v>OK</v>
      </c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</row>
    <row r="60" spans="1:318" s="6" customFormat="1" x14ac:dyDescent="0.45">
      <c r="A60" s="4" t="s">
        <v>154</v>
      </c>
      <c r="B60" s="4" t="s">
        <v>155</v>
      </c>
      <c r="C60" s="4">
        <v>10</v>
      </c>
      <c r="D60" s="4" t="s">
        <v>26</v>
      </c>
      <c r="E60" s="4" t="s">
        <v>27</v>
      </c>
      <c r="F60" s="4">
        <v>12</v>
      </c>
      <c r="G60" s="4">
        <v>16</v>
      </c>
      <c r="H60" s="4">
        <v>6</v>
      </c>
      <c r="I60" s="4">
        <v>12</v>
      </c>
      <c r="J60" s="4">
        <v>8</v>
      </c>
      <c r="K60" s="4">
        <v>0</v>
      </c>
      <c r="L60" s="5">
        <f t="shared" si="0"/>
        <v>0.375</v>
      </c>
      <c r="M60" s="4" t="s">
        <v>18</v>
      </c>
      <c r="N60" s="4" t="str">
        <f t="shared" si="1"/>
        <v>OK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</row>
    <row r="61" spans="1:318" x14ac:dyDescent="0.45">
      <c r="A61" s="7" t="s">
        <v>156</v>
      </c>
      <c r="B61" s="7" t="s">
        <v>157</v>
      </c>
      <c r="C61" s="7">
        <v>60</v>
      </c>
      <c r="D61" s="7" t="s">
        <v>26</v>
      </c>
      <c r="E61" s="7" t="s">
        <v>30</v>
      </c>
      <c r="F61" s="7">
        <v>41</v>
      </c>
      <c r="G61" s="7">
        <v>52</v>
      </c>
      <c r="H61" s="7">
        <v>27</v>
      </c>
      <c r="I61" s="7">
        <v>3</v>
      </c>
      <c r="J61" s="7">
        <v>14</v>
      </c>
      <c r="K61" s="7">
        <v>1</v>
      </c>
      <c r="L61" s="8">
        <f t="shared" si="0"/>
        <v>0.51923076923076927</v>
      </c>
      <c r="M61" s="7" t="s">
        <v>23</v>
      </c>
      <c r="N61" s="7" t="str">
        <f t="shared" si="1"/>
        <v>Review</v>
      </c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</row>
    <row r="62" spans="1:318" s="6" customFormat="1" x14ac:dyDescent="0.45">
      <c r="A62" s="4" t="s">
        <v>158</v>
      </c>
      <c r="B62" s="4" t="s">
        <v>159</v>
      </c>
      <c r="C62" s="4">
        <v>5</v>
      </c>
      <c r="D62" s="4" t="s">
        <v>26</v>
      </c>
      <c r="E62" s="4" t="s">
        <v>42</v>
      </c>
      <c r="F62" s="4">
        <v>9</v>
      </c>
      <c r="G62" s="4">
        <v>12</v>
      </c>
      <c r="H62" s="4">
        <v>4</v>
      </c>
      <c r="I62" s="4">
        <v>16</v>
      </c>
      <c r="J62" s="4">
        <v>7</v>
      </c>
      <c r="K62" s="4">
        <v>0</v>
      </c>
      <c r="L62" s="5">
        <f t="shared" si="0"/>
        <v>0.33333333333333331</v>
      </c>
      <c r="M62" s="4" t="s">
        <v>18</v>
      </c>
      <c r="N62" s="4" t="str">
        <f t="shared" si="1"/>
        <v>OK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</row>
    <row r="63" spans="1:318" x14ac:dyDescent="0.45">
      <c r="A63" s="7" t="s">
        <v>160</v>
      </c>
      <c r="B63" s="7" t="s">
        <v>161</v>
      </c>
      <c r="C63" s="7">
        <v>3</v>
      </c>
      <c r="D63" s="7" t="s">
        <v>62</v>
      </c>
      <c r="E63" s="7" t="s">
        <v>37</v>
      </c>
      <c r="F63" s="7">
        <v>2</v>
      </c>
      <c r="G63" s="7">
        <v>3</v>
      </c>
      <c r="H63" s="7">
        <v>1</v>
      </c>
      <c r="I63" s="7">
        <v>55</v>
      </c>
      <c r="J63" s="7">
        <v>18</v>
      </c>
      <c r="K63" s="7">
        <v>0</v>
      </c>
      <c r="L63" s="8">
        <f t="shared" si="0"/>
        <v>0.33333333333333331</v>
      </c>
      <c r="M63" s="7" t="s">
        <v>18</v>
      </c>
      <c r="N63" s="7" t="str">
        <f t="shared" si="1"/>
        <v>OK</v>
      </c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</row>
    <row r="64" spans="1:318" s="6" customFormat="1" x14ac:dyDescent="0.45">
      <c r="A64" s="4" t="s">
        <v>162</v>
      </c>
      <c r="B64" s="4" t="s">
        <v>163</v>
      </c>
      <c r="C64" s="4">
        <v>50</v>
      </c>
      <c r="D64" s="4" t="s">
        <v>26</v>
      </c>
      <c r="E64" s="4" t="s">
        <v>27</v>
      </c>
      <c r="F64" s="4">
        <v>33</v>
      </c>
      <c r="G64" s="4">
        <v>40</v>
      </c>
      <c r="H64" s="4">
        <v>20</v>
      </c>
      <c r="I64" s="4">
        <v>6</v>
      </c>
      <c r="J64" s="4">
        <v>8</v>
      </c>
      <c r="K64" s="4">
        <v>1</v>
      </c>
      <c r="L64" s="5">
        <f t="shared" si="0"/>
        <v>0.5</v>
      </c>
      <c r="M64" s="4" t="s">
        <v>23</v>
      </c>
      <c r="N64" s="4" t="str">
        <f t="shared" si="1"/>
        <v>Review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</row>
    <row r="65" spans="1:318" x14ac:dyDescent="0.45">
      <c r="A65" s="7" t="s">
        <v>164</v>
      </c>
      <c r="B65" s="7" t="s">
        <v>165</v>
      </c>
      <c r="C65" s="7">
        <v>2</v>
      </c>
      <c r="D65" s="7" t="s">
        <v>26</v>
      </c>
      <c r="E65" s="7" t="s">
        <v>27</v>
      </c>
      <c r="F65" s="7">
        <v>8</v>
      </c>
      <c r="G65" s="7">
        <v>10</v>
      </c>
      <c r="H65" s="7">
        <v>3</v>
      </c>
      <c r="I65" s="7">
        <v>19</v>
      </c>
      <c r="J65" s="7">
        <v>8</v>
      </c>
      <c r="K65" s="7">
        <v>0</v>
      </c>
      <c r="L65" s="8">
        <f t="shared" si="0"/>
        <v>0.3</v>
      </c>
      <c r="M65" s="7" t="s">
        <v>18</v>
      </c>
      <c r="N65" s="7" t="str">
        <f t="shared" si="1"/>
        <v>OK</v>
      </c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</row>
    <row r="66" spans="1:318" s="6" customFormat="1" x14ac:dyDescent="0.45">
      <c r="A66" s="4" t="s">
        <v>166</v>
      </c>
      <c r="B66" s="4" t="s">
        <v>167</v>
      </c>
      <c r="C66" s="4">
        <v>2</v>
      </c>
      <c r="D66" s="4" t="s">
        <v>62</v>
      </c>
      <c r="E66" s="4" t="s">
        <v>37</v>
      </c>
      <c r="F66" s="4">
        <v>2</v>
      </c>
      <c r="G66" s="4">
        <v>3</v>
      </c>
      <c r="H66" s="4">
        <v>1</v>
      </c>
      <c r="I66" s="4">
        <v>48</v>
      </c>
      <c r="J66" s="4">
        <v>16</v>
      </c>
      <c r="K66" s="4">
        <v>0</v>
      </c>
      <c r="L66" s="5">
        <f t="shared" ref="L66:L82" si="2">IFERROR(H66/G66,0)</f>
        <v>0.33333333333333331</v>
      </c>
      <c r="M66" s="4" t="s">
        <v>18</v>
      </c>
      <c r="N66" s="4" t="str">
        <f t="shared" ref="N66:N82" si="3">IF(OR(F66&lt;H66,K66&gt;0),"Review","OK")</f>
        <v>OK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</row>
    <row r="67" spans="1:318" x14ac:dyDescent="0.45">
      <c r="A67" s="7" t="s">
        <v>168</v>
      </c>
      <c r="B67" s="7" t="s">
        <v>169</v>
      </c>
      <c r="C67" s="7">
        <v>22</v>
      </c>
      <c r="D67" s="7" t="s">
        <v>33</v>
      </c>
      <c r="E67" s="7" t="s">
        <v>111</v>
      </c>
      <c r="F67" s="7">
        <v>19</v>
      </c>
      <c r="G67" s="7">
        <v>24</v>
      </c>
      <c r="H67" s="7">
        <v>11</v>
      </c>
      <c r="I67" s="7">
        <v>9</v>
      </c>
      <c r="J67" s="7">
        <v>9</v>
      </c>
      <c r="K67" s="7">
        <v>0</v>
      </c>
      <c r="L67" s="8">
        <f t="shared" si="2"/>
        <v>0.45833333333333331</v>
      </c>
      <c r="M67" s="7" t="s">
        <v>18</v>
      </c>
      <c r="N67" s="7" t="str">
        <f t="shared" si="3"/>
        <v>OK</v>
      </c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</row>
    <row r="68" spans="1:318" s="6" customFormat="1" x14ac:dyDescent="0.45">
      <c r="A68" s="4" t="s">
        <v>170</v>
      </c>
      <c r="B68" s="4" t="s">
        <v>171</v>
      </c>
      <c r="C68" s="4">
        <v>25</v>
      </c>
      <c r="D68" s="4" t="s">
        <v>33</v>
      </c>
      <c r="E68" s="4" t="s">
        <v>111</v>
      </c>
      <c r="F68" s="4">
        <v>20</v>
      </c>
      <c r="G68" s="4">
        <v>26</v>
      </c>
      <c r="H68" s="4">
        <v>12</v>
      </c>
      <c r="I68" s="4">
        <v>9</v>
      </c>
      <c r="J68" s="4">
        <v>9</v>
      </c>
      <c r="K68" s="4">
        <v>0</v>
      </c>
      <c r="L68" s="5">
        <f t="shared" si="2"/>
        <v>0.46153846153846156</v>
      </c>
      <c r="M68" s="4" t="s">
        <v>18</v>
      </c>
      <c r="N68" s="4" t="str">
        <f t="shared" si="3"/>
        <v>OK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</row>
    <row r="69" spans="1:318" x14ac:dyDescent="0.45">
      <c r="A69" s="7" t="s">
        <v>172</v>
      </c>
      <c r="B69" s="7" t="s">
        <v>173</v>
      </c>
      <c r="C69" s="7">
        <v>10</v>
      </c>
      <c r="D69" s="7" t="s">
        <v>26</v>
      </c>
      <c r="E69" s="7" t="s">
        <v>174</v>
      </c>
      <c r="F69" s="7">
        <v>11</v>
      </c>
      <c r="G69" s="7">
        <v>15</v>
      </c>
      <c r="H69" s="7">
        <v>5</v>
      </c>
      <c r="I69" s="7">
        <v>14</v>
      </c>
      <c r="J69" s="7">
        <v>8</v>
      </c>
      <c r="K69" s="7">
        <v>0</v>
      </c>
      <c r="L69" s="8">
        <f t="shared" si="2"/>
        <v>0.33333333333333331</v>
      </c>
      <c r="M69" s="7" t="s">
        <v>18</v>
      </c>
      <c r="N69" s="7" t="str">
        <f t="shared" si="3"/>
        <v>OK</v>
      </c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</row>
    <row r="70" spans="1:318" s="6" customFormat="1" x14ac:dyDescent="0.45">
      <c r="A70" s="4" t="s">
        <v>175</v>
      </c>
      <c r="B70" s="4" t="s">
        <v>176</v>
      </c>
      <c r="C70" s="4">
        <v>10</v>
      </c>
      <c r="D70" s="4" t="s">
        <v>33</v>
      </c>
      <c r="E70" s="4" t="s">
        <v>17</v>
      </c>
      <c r="F70" s="4">
        <v>18</v>
      </c>
      <c r="G70" s="4">
        <v>23</v>
      </c>
      <c r="H70" s="4">
        <v>9</v>
      </c>
      <c r="I70" s="4">
        <v>10</v>
      </c>
      <c r="J70" s="4">
        <v>5</v>
      </c>
      <c r="K70" s="4">
        <v>0</v>
      </c>
      <c r="L70" s="5">
        <f t="shared" si="2"/>
        <v>0.39130434782608697</v>
      </c>
      <c r="M70" s="4" t="s">
        <v>18</v>
      </c>
      <c r="N70" s="4" t="str">
        <f t="shared" si="3"/>
        <v>OK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</row>
    <row r="71" spans="1:318" x14ac:dyDescent="0.45">
      <c r="A71" s="7" t="s">
        <v>177</v>
      </c>
      <c r="B71" s="7" t="s">
        <v>178</v>
      </c>
      <c r="C71" s="7">
        <v>10</v>
      </c>
      <c r="D71" s="7" t="s">
        <v>26</v>
      </c>
      <c r="E71" s="7" t="s">
        <v>174</v>
      </c>
      <c r="F71" s="7">
        <v>12</v>
      </c>
      <c r="G71" s="7">
        <v>16</v>
      </c>
      <c r="H71" s="7">
        <v>6</v>
      </c>
      <c r="I71" s="7">
        <v>12</v>
      </c>
      <c r="J71" s="7">
        <v>8</v>
      </c>
      <c r="K71" s="7">
        <v>0</v>
      </c>
      <c r="L71" s="8">
        <f t="shared" si="2"/>
        <v>0.375</v>
      </c>
      <c r="M71" s="7" t="s">
        <v>18</v>
      </c>
      <c r="N71" s="7" t="str">
        <f t="shared" si="3"/>
        <v>OK</v>
      </c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</row>
    <row r="72" spans="1:318" s="6" customFormat="1" x14ac:dyDescent="0.45">
      <c r="A72" s="4" t="s">
        <v>179</v>
      </c>
      <c r="B72" s="4" t="s">
        <v>180</v>
      </c>
      <c r="C72" s="4">
        <v>25</v>
      </c>
      <c r="D72" s="4" t="s">
        <v>26</v>
      </c>
      <c r="E72" s="4" t="s">
        <v>30</v>
      </c>
      <c r="F72" s="4">
        <v>24</v>
      </c>
      <c r="G72" s="4">
        <v>30</v>
      </c>
      <c r="H72" s="4">
        <v>15</v>
      </c>
      <c r="I72" s="4">
        <v>7</v>
      </c>
      <c r="J72" s="4">
        <v>13</v>
      </c>
      <c r="K72" s="4">
        <v>1</v>
      </c>
      <c r="L72" s="5">
        <f t="shared" si="2"/>
        <v>0.5</v>
      </c>
      <c r="M72" s="4" t="s">
        <v>23</v>
      </c>
      <c r="N72" s="4" t="str">
        <f t="shared" si="3"/>
        <v>Review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</row>
    <row r="73" spans="1:318" x14ac:dyDescent="0.45">
      <c r="A73" s="7" t="s">
        <v>181</v>
      </c>
      <c r="B73" s="7" t="s">
        <v>182</v>
      </c>
      <c r="C73" s="7">
        <v>30</v>
      </c>
      <c r="D73" s="7" t="s">
        <v>26</v>
      </c>
      <c r="E73" s="7" t="s">
        <v>42</v>
      </c>
      <c r="F73" s="7">
        <v>26</v>
      </c>
      <c r="G73" s="7">
        <v>32</v>
      </c>
      <c r="H73" s="7">
        <v>17</v>
      </c>
      <c r="I73" s="7">
        <v>8</v>
      </c>
      <c r="J73" s="7">
        <v>7</v>
      </c>
      <c r="K73" s="7">
        <v>0</v>
      </c>
      <c r="L73" s="8">
        <f t="shared" si="2"/>
        <v>0.53125</v>
      </c>
      <c r="M73" s="7" t="s">
        <v>18</v>
      </c>
      <c r="N73" s="7" t="str">
        <f t="shared" si="3"/>
        <v>OK</v>
      </c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</row>
    <row r="74" spans="1:318" s="6" customFormat="1" x14ac:dyDescent="0.45">
      <c r="A74" s="4" t="s">
        <v>183</v>
      </c>
      <c r="B74" s="4" t="s">
        <v>184</v>
      </c>
      <c r="C74" s="4">
        <v>17</v>
      </c>
      <c r="D74" s="4" t="s">
        <v>26</v>
      </c>
      <c r="E74" s="4" t="s">
        <v>111</v>
      </c>
      <c r="F74" s="4">
        <v>16</v>
      </c>
      <c r="G74" s="4">
        <v>21</v>
      </c>
      <c r="H74" s="4">
        <v>9</v>
      </c>
      <c r="I74" s="4">
        <v>10</v>
      </c>
      <c r="J74" s="4">
        <v>8</v>
      </c>
      <c r="K74" s="4">
        <v>0</v>
      </c>
      <c r="L74" s="5">
        <f t="shared" si="2"/>
        <v>0.42857142857142855</v>
      </c>
      <c r="M74" s="4" t="s">
        <v>18</v>
      </c>
      <c r="N74" s="4" t="str">
        <f t="shared" si="3"/>
        <v>OK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</row>
    <row r="75" spans="1:318" x14ac:dyDescent="0.45">
      <c r="A75" s="7" t="s">
        <v>185</v>
      </c>
      <c r="B75" s="7" t="s">
        <v>186</v>
      </c>
      <c r="C75" s="7">
        <v>16</v>
      </c>
      <c r="D75" s="7" t="s">
        <v>26</v>
      </c>
      <c r="E75" s="7" t="s">
        <v>111</v>
      </c>
      <c r="F75" s="7">
        <v>15</v>
      </c>
      <c r="G75" s="7">
        <v>20</v>
      </c>
      <c r="H75" s="7">
        <v>8</v>
      </c>
      <c r="I75" s="7">
        <v>11</v>
      </c>
      <c r="J75" s="7">
        <v>8</v>
      </c>
      <c r="K75" s="7">
        <v>0</v>
      </c>
      <c r="L75" s="8">
        <f t="shared" si="2"/>
        <v>0.4</v>
      </c>
      <c r="M75" s="7" t="s">
        <v>18</v>
      </c>
      <c r="N75" s="7" t="str">
        <f t="shared" si="3"/>
        <v>OK</v>
      </c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</row>
    <row r="76" spans="1:318" s="6" customFormat="1" x14ac:dyDescent="0.45">
      <c r="A76" s="4" t="s">
        <v>187</v>
      </c>
      <c r="B76" s="4" t="s">
        <v>188</v>
      </c>
      <c r="C76" s="4">
        <v>3</v>
      </c>
      <c r="D76" s="4" t="s">
        <v>16</v>
      </c>
      <c r="E76" s="4" t="s">
        <v>42</v>
      </c>
      <c r="F76" s="4">
        <v>9</v>
      </c>
      <c r="G76" s="4">
        <v>12</v>
      </c>
      <c r="H76" s="4">
        <v>4</v>
      </c>
      <c r="I76" s="4">
        <v>17</v>
      </c>
      <c r="J76" s="4">
        <v>7</v>
      </c>
      <c r="K76" s="4">
        <v>0</v>
      </c>
      <c r="L76" s="5">
        <f t="shared" si="2"/>
        <v>0.33333333333333331</v>
      </c>
      <c r="M76" s="4" t="s">
        <v>18</v>
      </c>
      <c r="N76" s="4" t="str">
        <f t="shared" si="3"/>
        <v>OK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</row>
    <row r="77" spans="1:318" x14ac:dyDescent="0.45">
      <c r="A77" s="7" t="s">
        <v>189</v>
      </c>
      <c r="B77" s="7" t="s">
        <v>190</v>
      </c>
      <c r="C77" s="7">
        <v>1</v>
      </c>
      <c r="D77" s="7" t="s">
        <v>36</v>
      </c>
      <c r="E77" s="7" t="s">
        <v>37</v>
      </c>
      <c r="F77" s="7">
        <v>2</v>
      </c>
      <c r="G77" s="7">
        <v>2</v>
      </c>
      <c r="H77" s="7">
        <v>1</v>
      </c>
      <c r="I77" s="7">
        <v>70</v>
      </c>
      <c r="J77" s="7">
        <v>20</v>
      </c>
      <c r="K77" s="7">
        <v>0</v>
      </c>
      <c r="L77" s="8">
        <f t="shared" si="2"/>
        <v>0.5</v>
      </c>
      <c r="M77" s="7" t="s">
        <v>18</v>
      </c>
      <c r="N77" s="7" t="str">
        <f t="shared" si="3"/>
        <v>OK</v>
      </c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</row>
    <row r="78" spans="1:318" s="6" customFormat="1" x14ac:dyDescent="0.45">
      <c r="A78" s="4" t="s">
        <v>191</v>
      </c>
      <c r="B78" s="4" t="s">
        <v>192</v>
      </c>
      <c r="C78" s="4">
        <v>33</v>
      </c>
      <c r="D78" s="4" t="s">
        <v>26</v>
      </c>
      <c r="E78" s="4" t="s">
        <v>120</v>
      </c>
      <c r="F78" s="4">
        <v>25</v>
      </c>
      <c r="G78" s="4">
        <v>31</v>
      </c>
      <c r="H78" s="4">
        <v>16</v>
      </c>
      <c r="I78" s="4">
        <v>8</v>
      </c>
      <c r="J78" s="4">
        <v>10</v>
      </c>
      <c r="K78" s="4">
        <v>0</v>
      </c>
      <c r="L78" s="5">
        <f t="shared" si="2"/>
        <v>0.5161290322580645</v>
      </c>
      <c r="M78" s="4" t="s">
        <v>18</v>
      </c>
      <c r="N78" s="4" t="str">
        <f t="shared" si="3"/>
        <v>OK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</row>
    <row r="79" spans="1:318" x14ac:dyDescent="0.45">
      <c r="A79" s="7" t="s">
        <v>193</v>
      </c>
      <c r="B79" s="7" t="s">
        <v>194</v>
      </c>
      <c r="C79" s="7">
        <v>1</v>
      </c>
      <c r="D79" s="7" t="s">
        <v>195</v>
      </c>
      <c r="E79" s="7" t="s">
        <v>196</v>
      </c>
      <c r="F79" s="7">
        <v>28</v>
      </c>
      <c r="G79" s="7">
        <v>36</v>
      </c>
      <c r="H79" s="7">
        <v>22</v>
      </c>
      <c r="I79" s="7">
        <v>4</v>
      </c>
      <c r="J79" s="7">
        <v>6</v>
      </c>
      <c r="K79" s="7">
        <v>0</v>
      </c>
      <c r="L79" s="8">
        <f t="shared" si="2"/>
        <v>0.61111111111111116</v>
      </c>
      <c r="M79" s="7" t="s">
        <v>23</v>
      </c>
      <c r="N79" s="7" t="str">
        <f t="shared" si="3"/>
        <v>OK</v>
      </c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</row>
    <row r="80" spans="1:318" s="6" customFormat="1" x14ac:dyDescent="0.45">
      <c r="A80" s="4" t="s">
        <v>197</v>
      </c>
      <c r="B80" s="4" t="s">
        <v>198</v>
      </c>
      <c r="C80" s="4">
        <v>1</v>
      </c>
      <c r="D80" s="4" t="s">
        <v>195</v>
      </c>
      <c r="E80" s="4" t="s">
        <v>196</v>
      </c>
      <c r="F80" s="4">
        <v>34</v>
      </c>
      <c r="G80" s="4">
        <v>42</v>
      </c>
      <c r="H80" s="4">
        <v>27</v>
      </c>
      <c r="I80" s="4">
        <v>3</v>
      </c>
      <c r="J80" s="4">
        <v>6</v>
      </c>
      <c r="K80" s="4">
        <v>0</v>
      </c>
      <c r="L80" s="5">
        <f t="shared" si="2"/>
        <v>0.6428571428571429</v>
      </c>
      <c r="M80" s="4" t="s">
        <v>23</v>
      </c>
      <c r="N80" s="4" t="str">
        <f t="shared" si="3"/>
        <v>OK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</row>
    <row r="81" spans="1:318" x14ac:dyDescent="0.45">
      <c r="A81" s="7" t="s">
        <v>199</v>
      </c>
      <c r="B81" s="7" t="s">
        <v>200</v>
      </c>
      <c r="C81" s="7">
        <v>1</v>
      </c>
      <c r="D81" s="7" t="s">
        <v>36</v>
      </c>
      <c r="E81" s="7" t="s">
        <v>201</v>
      </c>
      <c r="F81" s="7">
        <v>8</v>
      </c>
      <c r="G81" s="7">
        <v>10</v>
      </c>
      <c r="H81" s="7">
        <v>3</v>
      </c>
      <c r="I81" s="7">
        <v>20</v>
      </c>
      <c r="J81" s="7">
        <v>9</v>
      </c>
      <c r="K81" s="7">
        <v>0</v>
      </c>
      <c r="L81" s="8">
        <f t="shared" si="2"/>
        <v>0.3</v>
      </c>
      <c r="M81" s="7" t="s">
        <v>18</v>
      </c>
      <c r="N81" s="7" t="str">
        <f t="shared" si="3"/>
        <v>OK</v>
      </c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</row>
    <row r="82" spans="1:318" s="6" customFormat="1" x14ac:dyDescent="0.45">
      <c r="A82" s="11" t="s">
        <v>202</v>
      </c>
      <c r="B82" s="11" t="s">
        <v>203</v>
      </c>
      <c r="C82" s="11">
        <v>1</v>
      </c>
      <c r="D82" s="11" t="s">
        <v>204</v>
      </c>
      <c r="E82" s="11" t="s">
        <v>196</v>
      </c>
      <c r="F82" s="11">
        <v>18</v>
      </c>
      <c r="G82" s="11">
        <v>23</v>
      </c>
      <c r="H82" s="11">
        <v>11</v>
      </c>
      <c r="I82" s="11">
        <v>8</v>
      </c>
      <c r="J82" s="11">
        <v>5</v>
      </c>
      <c r="K82" s="11">
        <v>0</v>
      </c>
      <c r="L82" s="12">
        <f t="shared" si="2"/>
        <v>0.47826086956521741</v>
      </c>
      <c r="M82" s="11" t="s">
        <v>18</v>
      </c>
      <c r="N82" s="11" t="str">
        <f t="shared" si="3"/>
        <v>OK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</row>
    <row r="83" spans="1:318" x14ac:dyDescent="0.45"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</row>
    <row r="84" spans="1:318" x14ac:dyDescent="0.45"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</row>
    <row r="85" spans="1:318" x14ac:dyDescent="0.45"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</row>
    <row r="86" spans="1:318" x14ac:dyDescent="0.45"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</row>
    <row r="87" spans="1:318" ht="18" x14ac:dyDescent="0.55000000000000004">
      <c r="A87" s="17"/>
      <c r="B87" s="18"/>
      <c r="C87" s="18"/>
      <c r="D87" s="18"/>
    </row>
    <row r="89" spans="1:318" x14ac:dyDescent="0.45">
      <c r="A89" s="19"/>
      <c r="B89" s="19"/>
      <c r="C89" s="19"/>
      <c r="D89" s="19"/>
    </row>
    <row r="90" spans="1:318" x14ac:dyDescent="0.45">
      <c r="A90" s="15"/>
      <c r="B90" s="15"/>
      <c r="C90" s="16"/>
      <c r="D90" s="16"/>
    </row>
    <row r="91" spans="1:318" x14ac:dyDescent="0.45">
      <c r="A91" s="15"/>
      <c r="B91" s="15"/>
      <c r="C91" s="16"/>
      <c r="D91" s="16"/>
    </row>
    <row r="92" spans="1:318" x14ac:dyDescent="0.45">
      <c r="A92" s="15"/>
      <c r="B92" s="15"/>
      <c r="C92" s="16"/>
      <c r="D92" s="16"/>
    </row>
    <row r="93" spans="1:318" x14ac:dyDescent="0.45">
      <c r="A93" s="15"/>
      <c r="B93" s="15"/>
      <c r="C93" s="20"/>
      <c r="D93" s="20"/>
    </row>
    <row r="94" spans="1:318" x14ac:dyDescent="0.45">
      <c r="A94" s="15"/>
      <c r="B94" s="15"/>
      <c r="C94" s="20"/>
      <c r="D94" s="20"/>
    </row>
    <row r="95" spans="1:318" x14ac:dyDescent="0.45">
      <c r="A95" s="15"/>
      <c r="B95" s="15"/>
      <c r="C95" s="16"/>
      <c r="D95" s="16"/>
    </row>
    <row r="98" spans="1:4" x14ac:dyDescent="0.45">
      <c r="A98" s="13"/>
      <c r="B98" s="13"/>
      <c r="C98" s="13"/>
      <c r="D98" s="13"/>
    </row>
    <row r="99" spans="1:4" x14ac:dyDescent="0.45">
      <c r="A99" s="14"/>
      <c r="B99" s="14"/>
      <c r="C99" s="14"/>
      <c r="D99" s="14"/>
    </row>
    <row r="100" spans="1:4" x14ac:dyDescent="0.45">
      <c r="A100" s="14"/>
      <c r="B100" s="14"/>
      <c r="C100" s="14"/>
      <c r="D100" s="14"/>
    </row>
    <row r="101" spans="1:4" x14ac:dyDescent="0.45">
      <c r="A101" s="14"/>
      <c r="B101" s="14"/>
      <c r="C101" s="14"/>
      <c r="D101" s="14"/>
    </row>
    <row r="102" spans="1:4" x14ac:dyDescent="0.45">
      <c r="A102" s="14"/>
      <c r="B102" s="14"/>
      <c r="C102" s="14"/>
      <c r="D102" s="14"/>
    </row>
    <row r="103" spans="1:4" x14ac:dyDescent="0.45">
      <c r="A103" s="14"/>
      <c r="B103" s="14"/>
      <c r="C103" s="14"/>
      <c r="D103" s="14"/>
    </row>
    <row r="104" spans="1:4" x14ac:dyDescent="0.45">
      <c r="A104" s="14"/>
      <c r="B104" s="14"/>
      <c r="C104" s="14"/>
      <c r="D104" s="14"/>
    </row>
    <row r="105" spans="1:4" x14ac:dyDescent="0.45">
      <c r="A105" s="14"/>
      <c r="B105" s="14"/>
      <c r="C105" s="14"/>
      <c r="D105" s="14"/>
    </row>
    <row r="106" spans="1:4" x14ac:dyDescent="0.45">
      <c r="A106" s="14"/>
      <c r="B106" s="14"/>
      <c r="C106" s="14"/>
      <c r="D106" s="14"/>
    </row>
    <row r="107" spans="1:4" x14ac:dyDescent="0.45">
      <c r="A107" s="14"/>
      <c r="B107" s="14"/>
      <c r="C107" s="14"/>
      <c r="D107" s="14"/>
    </row>
    <row r="108" spans="1:4" x14ac:dyDescent="0.45">
      <c r="A108" s="14"/>
      <c r="B108" s="14"/>
      <c r="C108" s="14"/>
      <c r="D108" s="14"/>
    </row>
    <row r="109" spans="1:4" x14ac:dyDescent="0.45">
      <c r="A109" s="14"/>
      <c r="B109" s="14"/>
      <c r="C109" s="14"/>
      <c r="D109" s="14"/>
    </row>
    <row r="110" spans="1:4" x14ac:dyDescent="0.45">
      <c r="A110" s="14"/>
      <c r="B110" s="14"/>
      <c r="C110" s="14"/>
      <c r="D110" s="14"/>
    </row>
    <row r="111" spans="1:4" x14ac:dyDescent="0.45">
      <c r="A111" s="14"/>
      <c r="B111" s="14"/>
      <c r="C111" s="14"/>
      <c r="D111" s="14"/>
    </row>
    <row r="112" spans="1:4" x14ac:dyDescent="0.45">
      <c r="A112" s="14"/>
      <c r="B112" s="14"/>
      <c r="C112" s="14"/>
      <c r="D112" s="14"/>
    </row>
    <row r="113" spans="1:4" x14ac:dyDescent="0.45">
      <c r="A113" s="14"/>
      <c r="B113" s="14"/>
      <c r="C113" s="14"/>
      <c r="D113" s="14"/>
    </row>
    <row r="114" spans="1:4" x14ac:dyDescent="0.45">
      <c r="A114" s="14"/>
      <c r="B114" s="14"/>
      <c r="C114" s="14"/>
      <c r="D114" s="14"/>
    </row>
    <row r="115" spans="1:4" x14ac:dyDescent="0.45">
      <c r="A115" s="14"/>
      <c r="B115" s="14"/>
      <c r="C115" s="14"/>
      <c r="D115" s="14"/>
    </row>
    <row r="116" spans="1:4" x14ac:dyDescent="0.45">
      <c r="A116" s="14"/>
      <c r="B116" s="14"/>
      <c r="C116" s="14"/>
      <c r="D116" s="14"/>
    </row>
  </sheetData>
  <mergeCells count="15">
    <mergeCell ref="A95:B95"/>
    <mergeCell ref="C95:D95"/>
    <mergeCell ref="A92:B92"/>
    <mergeCell ref="C92:D92"/>
    <mergeCell ref="A93:B93"/>
    <mergeCell ref="C93:D93"/>
    <mergeCell ref="A94:B94"/>
    <mergeCell ref="C94:D94"/>
    <mergeCell ref="A91:B91"/>
    <mergeCell ref="C91:D91"/>
    <mergeCell ref="A87:D87"/>
    <mergeCell ref="A89:B89"/>
    <mergeCell ref="C89:D89"/>
    <mergeCell ref="A90:B90"/>
    <mergeCell ref="C90:D90"/>
  </mergeCells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A9DB9B1AEF5439BB5137330EE7BAC" ma:contentTypeVersion="14" ma:contentTypeDescription="Create a new document." ma:contentTypeScope="" ma:versionID="5332f346ffb0d8f0921787e8591652f6">
  <xsd:schema xmlns:xsd="http://www.w3.org/2001/XMLSchema" xmlns:xs="http://www.w3.org/2001/XMLSchema" xmlns:p="http://schemas.microsoft.com/office/2006/metadata/properties" xmlns:ns3="a4ba2269-4d0d-46c8-8615-97856870a3a2" xmlns:ns4="3d340b94-49d7-48dd-8b22-8cb4d5a27da1" targetNamespace="http://schemas.microsoft.com/office/2006/metadata/properties" ma:root="true" ma:fieldsID="b9485cee524c39657cd1a7eba66d8f99" ns3:_="" ns4:_="">
    <xsd:import namespace="a4ba2269-4d0d-46c8-8615-97856870a3a2"/>
    <xsd:import namespace="3d340b94-49d7-48dd-8b22-8cb4d5a27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a2269-4d0d-46c8-8615-97856870a3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40b94-49d7-48dd-8b22-8cb4d5a27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ba2269-4d0d-46c8-8615-97856870a3a2" xsi:nil="true"/>
  </documentManagement>
</p:properties>
</file>

<file path=customXml/itemProps1.xml><?xml version="1.0" encoding="utf-8"?>
<ds:datastoreItem xmlns:ds="http://schemas.openxmlformats.org/officeDocument/2006/customXml" ds:itemID="{A8AFD7E3-3B39-4F59-9C81-15C37CBA7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a2269-4d0d-46c8-8615-97856870a3a2"/>
    <ds:schemaRef ds:uri="3d340b94-49d7-48dd-8b22-8cb4d5a27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085D6D-D857-4C54-9CF8-84CF44F88A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57823-4337-4AE8-AE4B-CE2E1BD8C92F}">
  <ds:schemaRefs>
    <ds:schemaRef ds:uri="http://purl.org/dc/dcmitype/"/>
    <ds:schemaRef ds:uri="http://purl.org/dc/elements/1.1/"/>
    <ds:schemaRef ds:uri="http://www.w3.org/XML/1998/namespace"/>
    <ds:schemaRef ds:uri="3d340b94-49d7-48dd-8b22-8cb4d5a27da1"/>
    <ds:schemaRef ds:uri="http://purl.org/dc/terms/"/>
    <ds:schemaRef ds:uri="http://schemas.microsoft.com/office/2006/documentManagement/types"/>
    <ds:schemaRef ds:uri="a4ba2269-4d0d-46c8-8615-97856870a3a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Jolanne G. Mamangun</dc:creator>
  <cp:lastModifiedBy>Jolanne G. Mamangun</cp:lastModifiedBy>
  <dcterms:created xsi:type="dcterms:W3CDTF">2026-03-25T03:14:37Z</dcterms:created>
  <dcterms:modified xsi:type="dcterms:W3CDTF">2026-04-04T06:02:39Z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2026-03-25T03:14:54Z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e9430494-cbf9-4e3d-bf81-21100ba01718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  <property fmtid="{D5CDD505-2E9C-101B-9397-08002B2CF9AE}" pid="10" name="ContentTypeId">
    <vt:lpwstr>0x010100626A9DB9B1AEF5439BB5137330EE7BAC</vt:lpwstr>
  </property>
</Properties>
</file>